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6835" windowHeight="1158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70" i="1" l="1"/>
  <c r="G70" i="1"/>
  <c r="H70" i="1"/>
  <c r="F71" i="1"/>
  <c r="G71" i="1"/>
  <c r="H71" i="1"/>
  <c r="F72" i="1"/>
  <c r="G72" i="1"/>
  <c r="H72" i="1"/>
  <c r="F73" i="1"/>
  <c r="G73" i="1"/>
  <c r="H73" i="1"/>
  <c r="F74" i="1"/>
  <c r="G74" i="1"/>
  <c r="H74" i="1"/>
  <c r="F75" i="1"/>
  <c r="G75" i="1"/>
  <c r="H75" i="1"/>
  <c r="F76" i="1"/>
  <c r="G76" i="1"/>
  <c r="H76" i="1"/>
  <c r="F77" i="1"/>
  <c r="G77" i="1"/>
  <c r="H77" i="1"/>
  <c r="F78" i="1"/>
  <c r="G78" i="1"/>
  <c r="H78" i="1"/>
  <c r="F79" i="1"/>
  <c r="G79" i="1"/>
  <c r="H79" i="1"/>
  <c r="F80" i="1"/>
  <c r="G80" i="1"/>
  <c r="H80" i="1"/>
  <c r="F81" i="1"/>
  <c r="G81" i="1"/>
  <c r="H81" i="1"/>
  <c r="F82" i="1"/>
  <c r="G82" i="1"/>
  <c r="H82" i="1"/>
  <c r="F83" i="1"/>
  <c r="G83" i="1"/>
  <c r="H83" i="1"/>
  <c r="F84" i="1"/>
  <c r="G84" i="1"/>
  <c r="H84" i="1"/>
  <c r="F85" i="1"/>
  <c r="G85" i="1"/>
  <c r="H85" i="1"/>
  <c r="F69" i="1"/>
  <c r="C78" i="1"/>
  <c r="B78" i="1" s="1"/>
  <c r="D78" i="1"/>
  <c r="B79" i="1"/>
  <c r="C79" i="1"/>
  <c r="D79" i="1"/>
  <c r="C80" i="1"/>
  <c r="D80" i="1" s="1"/>
  <c r="C81" i="1"/>
  <c r="B82" i="1" s="1"/>
  <c r="D81" i="1"/>
  <c r="C82" i="1"/>
  <c r="D82" i="1"/>
  <c r="B83" i="1"/>
  <c r="C83" i="1"/>
  <c r="D83" i="1"/>
  <c r="C84" i="1"/>
  <c r="D84" i="1" s="1"/>
  <c r="C85" i="1"/>
  <c r="D85" i="1"/>
  <c r="C70" i="1"/>
  <c r="C71" i="1"/>
  <c r="C72" i="1"/>
  <c r="B72" i="1" s="1"/>
  <c r="C73" i="1"/>
  <c r="B73" i="1" s="1"/>
  <c r="C74" i="1"/>
  <c r="C75" i="1"/>
  <c r="C76" i="1"/>
  <c r="B77" i="1" s="1"/>
  <c r="C77" i="1"/>
  <c r="D77" i="1" s="1"/>
  <c r="C69" i="1"/>
  <c r="D69" i="1" s="1"/>
  <c r="H69" i="1" s="1"/>
  <c r="B75" i="1"/>
  <c r="K71" i="1"/>
  <c r="B71" i="1"/>
  <c r="K70" i="1"/>
  <c r="D70" i="1"/>
  <c r="B70" i="1"/>
  <c r="K69" i="1"/>
  <c r="B80" i="1" l="1"/>
  <c r="B84" i="1"/>
  <c r="B85" i="1"/>
  <c r="B81" i="1"/>
  <c r="B74" i="1"/>
  <c r="B76" i="1"/>
  <c r="D72" i="1"/>
  <c r="D74" i="1"/>
  <c r="D76" i="1"/>
  <c r="G69" i="1"/>
  <c r="D71" i="1"/>
  <c r="D73" i="1"/>
  <c r="D75" i="1"/>
  <c r="B3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5" i="1"/>
  <c r="F36" i="1"/>
  <c r="G36" i="1"/>
  <c r="H36" i="1"/>
  <c r="D36" i="1"/>
  <c r="C5" i="1"/>
  <c r="C6" i="1"/>
  <c r="C7" i="1"/>
  <c r="C8" i="1"/>
  <c r="C9" i="1"/>
  <c r="C10" i="1"/>
  <c r="C11" i="1"/>
  <c r="C12" i="1"/>
  <c r="C13" i="1"/>
  <c r="D13" i="1" s="1"/>
  <c r="G13" i="1" s="1"/>
  <c r="C14" i="1"/>
  <c r="D14" i="1" s="1"/>
  <c r="F14" i="1" s="1"/>
  <c r="C15" i="1"/>
  <c r="D15" i="1" s="1"/>
  <c r="C16" i="1"/>
  <c r="C17" i="1"/>
  <c r="D17" i="1" s="1"/>
  <c r="C18" i="1"/>
  <c r="D18" i="1" s="1"/>
  <c r="F18" i="1" s="1"/>
  <c r="C19" i="1"/>
  <c r="D19" i="1" s="1"/>
  <c r="C20" i="1"/>
  <c r="C21" i="1"/>
  <c r="D21" i="1" s="1"/>
  <c r="G21" i="1" s="1"/>
  <c r="C22" i="1"/>
  <c r="D22" i="1" s="1"/>
  <c r="F22" i="1" s="1"/>
  <c r="C23" i="1"/>
  <c r="D23" i="1" s="1"/>
  <c r="C24" i="1"/>
  <c r="C25" i="1"/>
  <c r="D25" i="1" s="1"/>
  <c r="G25" i="1" s="1"/>
  <c r="C26" i="1"/>
  <c r="D26" i="1" s="1"/>
  <c r="F26" i="1" s="1"/>
  <c r="C27" i="1"/>
  <c r="D27" i="1" s="1"/>
  <c r="C28" i="1"/>
  <c r="C29" i="1"/>
  <c r="D29" i="1" s="1"/>
  <c r="G29" i="1" s="1"/>
  <c r="C30" i="1"/>
  <c r="D30" i="1" s="1"/>
  <c r="F30" i="1" s="1"/>
  <c r="C31" i="1"/>
  <c r="D31" i="1" s="1"/>
  <c r="C32" i="1"/>
  <c r="C33" i="1"/>
  <c r="D33" i="1" s="1"/>
  <c r="G33" i="1" s="1"/>
  <c r="C34" i="1"/>
  <c r="D34" i="1" s="1"/>
  <c r="F34" i="1" s="1"/>
  <c r="C35" i="1"/>
  <c r="D35" i="1" s="1"/>
  <c r="C36" i="1"/>
  <c r="C4" i="1"/>
  <c r="B52" i="1"/>
  <c r="C49" i="1"/>
  <c r="D49" i="1"/>
  <c r="C42" i="1"/>
  <c r="D42" i="1" s="1"/>
  <c r="G42" i="1" s="1"/>
  <c r="C43" i="1"/>
  <c r="D43" i="1" s="1"/>
  <c r="C44" i="1"/>
  <c r="C45" i="1"/>
  <c r="C46" i="1"/>
  <c r="C47" i="1"/>
  <c r="C48" i="1"/>
  <c r="C41" i="1"/>
  <c r="D41" i="1" s="1"/>
  <c r="H41" i="1" s="1"/>
  <c r="K42" i="1"/>
  <c r="K43" i="1"/>
  <c r="K41" i="1"/>
  <c r="D16" i="1"/>
  <c r="D20" i="1"/>
  <c r="H20" i="1" s="1"/>
  <c r="D24" i="1"/>
  <c r="H24" i="1" s="1"/>
  <c r="D28" i="1"/>
  <c r="H28" i="1" s="1"/>
  <c r="D32" i="1"/>
  <c r="H32" i="1" s="1"/>
  <c r="B49" i="1" l="1"/>
  <c r="B42" i="1"/>
  <c r="D44" i="1" s="1"/>
  <c r="F44" i="1" s="1"/>
  <c r="B43" i="1"/>
  <c r="D45" i="1" s="1"/>
  <c r="H45" i="1" s="1"/>
  <c r="G32" i="1"/>
  <c r="G24" i="1"/>
  <c r="F33" i="1"/>
  <c r="F32" i="1"/>
  <c r="F25" i="1"/>
  <c r="F24" i="1"/>
  <c r="H16" i="1"/>
  <c r="G16" i="1"/>
  <c r="F16" i="1"/>
  <c r="G17" i="1"/>
  <c r="F17" i="1"/>
  <c r="G28" i="1"/>
  <c r="G20" i="1"/>
  <c r="F29" i="1"/>
  <c r="F28" i="1"/>
  <c r="F21" i="1"/>
  <c r="F20" i="1"/>
  <c r="F13" i="1"/>
  <c r="F31" i="1"/>
  <c r="G31" i="1"/>
  <c r="H31" i="1"/>
  <c r="F23" i="1"/>
  <c r="G23" i="1"/>
  <c r="H23" i="1"/>
  <c r="F15" i="1"/>
  <c r="G15" i="1"/>
  <c r="H15" i="1"/>
  <c r="F35" i="1"/>
  <c r="G35" i="1"/>
  <c r="H35" i="1"/>
  <c r="F27" i="1"/>
  <c r="G27" i="1"/>
  <c r="H27" i="1"/>
  <c r="F19" i="1"/>
  <c r="G19" i="1"/>
  <c r="H19" i="1"/>
  <c r="H34" i="1"/>
  <c r="H30" i="1"/>
  <c r="H26" i="1"/>
  <c r="H22" i="1"/>
  <c r="H18" i="1"/>
  <c r="H14" i="1"/>
  <c r="G34" i="1"/>
  <c r="H33" i="1"/>
  <c r="G30" i="1"/>
  <c r="H29" i="1"/>
  <c r="G26" i="1"/>
  <c r="H25" i="1"/>
  <c r="G22" i="1"/>
  <c r="H21" i="1"/>
  <c r="G18" i="1"/>
  <c r="H17" i="1"/>
  <c r="G14" i="1"/>
  <c r="H13" i="1"/>
  <c r="H43" i="1"/>
  <c r="F43" i="1"/>
  <c r="G43" i="1"/>
  <c r="F42" i="1"/>
  <c r="H42" i="1"/>
  <c r="F41" i="1"/>
  <c r="G41" i="1"/>
  <c r="W8" i="1"/>
  <c r="D4" i="1"/>
  <c r="F4" i="1" s="1"/>
  <c r="D5" i="1"/>
  <c r="D6" i="1"/>
  <c r="D7" i="1"/>
  <c r="D8" i="1"/>
  <c r="F8" i="1" s="1"/>
  <c r="D9" i="1"/>
  <c r="D10" i="1"/>
  <c r="D11" i="1"/>
  <c r="F11" i="1" s="1"/>
  <c r="D12" i="1"/>
  <c r="F12" i="1" s="1"/>
  <c r="G45" i="1" l="1"/>
  <c r="F45" i="1"/>
  <c r="H44" i="1"/>
  <c r="G44" i="1"/>
  <c r="B44" i="1"/>
  <c r="B45" i="1"/>
  <c r="F7" i="1"/>
  <c r="G7" i="1"/>
  <c r="F9" i="1"/>
  <c r="H9" i="1"/>
  <c r="F5" i="1"/>
  <c r="G5" i="1"/>
  <c r="F10" i="1"/>
  <c r="H10" i="1"/>
  <c r="G10" i="1"/>
  <c r="F6" i="1"/>
  <c r="G6" i="1"/>
  <c r="H6" i="1"/>
  <c r="H8" i="1"/>
  <c r="H11" i="1"/>
  <c r="G8" i="1"/>
  <c r="H5" i="1"/>
  <c r="H12" i="1"/>
  <c r="H7" i="1"/>
  <c r="G12" i="1"/>
  <c r="G11" i="1"/>
  <c r="G9" i="1"/>
  <c r="G4" i="1"/>
  <c r="H4" i="1"/>
  <c r="D46" i="1" l="1"/>
  <c r="B46" i="1"/>
  <c r="D48" i="1" s="1"/>
  <c r="D47" i="1"/>
  <c r="B47" i="1"/>
  <c r="F48" i="1" l="1"/>
  <c r="H48" i="1"/>
  <c r="G48" i="1"/>
  <c r="B48" i="1"/>
  <c r="G46" i="1"/>
  <c r="F46" i="1"/>
  <c r="H46" i="1"/>
  <c r="H47" i="1"/>
  <c r="F47" i="1"/>
  <c r="G47" i="1"/>
</calcChain>
</file>

<file path=xl/sharedStrings.xml><?xml version="1.0" encoding="utf-8"?>
<sst xmlns="http://schemas.openxmlformats.org/spreadsheetml/2006/main" count="25" uniqueCount="8">
  <si>
    <t>x</t>
  </si>
  <si>
    <t>y</t>
  </si>
  <si>
    <t>delta f</t>
  </si>
  <si>
    <t>t (ms)</t>
  </si>
  <si>
    <t>x start</t>
  </si>
  <si>
    <t>FT4</t>
  </si>
  <si>
    <t>FT8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</si>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</sst>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xVal>
            <c:numRef>
              <c:f>Sheet1!$C$4:$C$35</c:f>
              <c:numCache>
                <c:formatCode>General</c:formatCode>
                <c:ptCount val="32"/>
                <c:pt idx="0">
                  <c:v>-2.2000000000000002</c:v>
                </c:pt>
                <c:pt idx="1">
                  <c:v>-2.1312500000000001</c:v>
                </c:pt>
                <c:pt idx="2">
                  <c:v>-2.0625</c:v>
                </c:pt>
                <c:pt idx="3">
                  <c:v>-1.9937500000000001</c:v>
                </c:pt>
                <c:pt idx="4">
                  <c:v>-1.9250000000000003</c:v>
                </c:pt>
                <c:pt idx="5">
                  <c:v>-1.8562500000000002</c:v>
                </c:pt>
                <c:pt idx="6">
                  <c:v>-1.7875000000000001</c:v>
                </c:pt>
                <c:pt idx="7">
                  <c:v>-1.71875</c:v>
                </c:pt>
                <c:pt idx="8">
                  <c:v>-1.6500000000000001</c:v>
                </c:pt>
                <c:pt idx="9">
                  <c:v>-1.5812500000000003</c:v>
                </c:pt>
                <c:pt idx="10">
                  <c:v>-1.5125000000000002</c:v>
                </c:pt>
                <c:pt idx="11">
                  <c:v>-1.4437500000000001</c:v>
                </c:pt>
                <c:pt idx="12">
                  <c:v>-1.375</c:v>
                </c:pt>
                <c:pt idx="13">
                  <c:v>-1.3062500000000001</c:v>
                </c:pt>
                <c:pt idx="14">
                  <c:v>-1.2375</c:v>
                </c:pt>
                <c:pt idx="15">
                  <c:v>-1.1687500000000002</c:v>
                </c:pt>
                <c:pt idx="16">
                  <c:v>-1.1000000000000001</c:v>
                </c:pt>
                <c:pt idx="17">
                  <c:v>-1.03125</c:v>
                </c:pt>
                <c:pt idx="18">
                  <c:v>-0.96250000000000013</c:v>
                </c:pt>
                <c:pt idx="19">
                  <c:v>-0.89375000000000004</c:v>
                </c:pt>
                <c:pt idx="20">
                  <c:v>-0.82500000000000018</c:v>
                </c:pt>
                <c:pt idx="21">
                  <c:v>-0.75625000000000009</c:v>
                </c:pt>
                <c:pt idx="22">
                  <c:v>-0.6875</c:v>
                </c:pt>
                <c:pt idx="23">
                  <c:v>-0.61875000000000013</c:v>
                </c:pt>
                <c:pt idx="24">
                  <c:v>-0.55000000000000004</c:v>
                </c:pt>
                <c:pt idx="25">
                  <c:v>-0.48124999999999996</c:v>
                </c:pt>
                <c:pt idx="26">
                  <c:v>-0.41250000000000009</c:v>
                </c:pt>
                <c:pt idx="27">
                  <c:v>-0.34375</c:v>
                </c:pt>
                <c:pt idx="28">
                  <c:v>-0.27499999999999991</c:v>
                </c:pt>
                <c:pt idx="29">
                  <c:v>-0.20625000000000004</c:v>
                </c:pt>
                <c:pt idx="30">
                  <c:v>-0.13750000000000018</c:v>
                </c:pt>
                <c:pt idx="31">
                  <c:v>-6.8750000000000089E-2</c:v>
                </c:pt>
              </c:numCache>
            </c:numRef>
          </c:xVal>
          <c:yVal>
            <c:numRef>
              <c:f>Sheet1!$D$4:$D$35</c:f>
              <c:numCache>
                <c:formatCode>General</c:formatCode>
                <c:ptCount val="32"/>
                <c:pt idx="0">
                  <c:v>7.9070540515934346E-3</c:v>
                </c:pt>
                <c:pt idx="1">
                  <c:v>1.0649667984254813E-2</c:v>
                </c:pt>
                <c:pt idx="2">
                  <c:v>1.4208622931196246E-2</c:v>
                </c:pt>
                <c:pt idx="3">
                  <c:v>1.877856794254704E-2</c:v>
                </c:pt>
                <c:pt idx="4">
                  <c:v>2.4584847035512634E-2</c:v>
                </c:pt>
                <c:pt idx="5">
                  <c:v>3.1883582319672234E-2</c:v>
                </c:pt>
                <c:pt idx="6">
                  <c:v>4.0960124856546529E-2</c:v>
                </c:pt>
                <c:pt idx="7">
                  <c:v>5.2125471022558476E-2</c:v>
                </c:pt>
                <c:pt idx="8">
                  <c:v>6.5710273227502822E-2</c:v>
                </c:pt>
                <c:pt idx="9">
                  <c:v>8.20561456886722E-2</c:v>
                </c:pt>
                <c:pt idx="10">
                  <c:v>0.10150408347791953</c:v>
                </c:pt>
                <c:pt idx="11">
                  <c:v>0.12437997771190125</c:v>
                </c:pt>
                <c:pt idx="12">
                  <c:v>0.15097741845591461</c:v>
                </c:pt>
                <c:pt idx="13">
                  <c:v>0.18153822116790386</c:v>
                </c:pt>
                <c:pt idx="14">
                  <c:v>0.21623137803738826</c:v>
                </c:pt>
                <c:pt idx="15">
                  <c:v>0.25513140253204813</c:v>
                </c:pt>
                <c:pt idx="16">
                  <c:v>0.29819727942988733</c:v>
                </c:pt>
                <c:pt idx="17">
                  <c:v>0.34525342634454376</c:v>
                </c:pt>
                <c:pt idx="18">
                  <c:v>0.3959741886613819</c:v>
                </c:pt>
                <c:pt idx="19">
                  <c:v>0.44987340298389827</c:v>
                </c:pt>
                <c:pt idx="20">
                  <c:v>0.50630045567338122</c:v>
                </c:pt>
                <c:pt idx="21">
                  <c:v>0.56444402294335849</c:v>
                </c:pt>
                <c:pt idx="22">
                  <c:v>0.62334430895963433</c:v>
                </c:pt>
                <c:pt idx="23">
                  <c:v>0.68191411340002739</c:v>
                </c:pt>
                <c:pt idx="24">
                  <c:v>0.73896848825894423</c:v>
                </c:pt>
                <c:pt idx="25">
                  <c:v>0.79326212572711541</c:v>
                </c:pt>
                <c:pt idx="26">
                  <c:v>0.84353300426689681</c:v>
                </c:pt>
                <c:pt idx="27">
                  <c:v>0.88855026287812666</c:v>
                </c:pt>
                <c:pt idx="28">
                  <c:v>0.92716382781175322</c:v>
                </c:pt>
                <c:pt idx="29">
                  <c:v>0.95835302912457188</c:v>
                </c:pt>
                <c:pt idx="30">
                  <c:v>0.98127135211997429</c:v>
                </c:pt>
                <c:pt idx="31">
                  <c:v>0.99528459011843173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583232"/>
        <c:axId val="239584768"/>
      </c:scatterChart>
      <c:valAx>
        <c:axId val="239583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9584768"/>
        <c:crosses val="autoZero"/>
        <c:crossBetween val="midCat"/>
      </c:valAx>
      <c:valAx>
        <c:axId val="239584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958323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Sheet1!$D$40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xVal>
            <c:numRef>
              <c:f>Sheet1!$C$41:$C$49</c:f>
              <c:numCache>
                <c:formatCode>General</c:formatCode>
                <c:ptCount val="9"/>
                <c:pt idx="0">
                  <c:v>-2.2000000000000002</c:v>
                </c:pt>
                <c:pt idx="1">
                  <c:v>-1.9250000000000003</c:v>
                </c:pt>
                <c:pt idx="2">
                  <c:v>-1.6500000000000001</c:v>
                </c:pt>
                <c:pt idx="3">
                  <c:v>-1.375</c:v>
                </c:pt>
                <c:pt idx="4">
                  <c:v>-1.1000000000000001</c:v>
                </c:pt>
                <c:pt idx="5">
                  <c:v>-0.82500000000000018</c:v>
                </c:pt>
                <c:pt idx="6">
                  <c:v>-0.55000000000000004</c:v>
                </c:pt>
                <c:pt idx="7">
                  <c:v>-0.27499999999999991</c:v>
                </c:pt>
                <c:pt idx="8">
                  <c:v>0</c:v>
                </c:pt>
              </c:numCache>
            </c:numRef>
          </c:xVal>
          <c:yVal>
            <c:numRef>
              <c:f>Sheet1!$D$41:$D$49</c:f>
              <c:numCache>
                <c:formatCode>General</c:formatCode>
                <c:ptCount val="9"/>
                <c:pt idx="0">
                  <c:v>7.9070540515934346E-3</c:v>
                </c:pt>
                <c:pt idx="1">
                  <c:v>2.4584847035512634E-2</c:v>
                </c:pt>
                <c:pt idx="2">
                  <c:v>6.5710273227502822E-2</c:v>
                </c:pt>
                <c:pt idx="3">
                  <c:v>0.15097741845591461</c:v>
                </c:pt>
                <c:pt idx="4">
                  <c:v>0.29819727942988733</c:v>
                </c:pt>
                <c:pt idx="5">
                  <c:v>0.50630045567338122</c:v>
                </c:pt>
                <c:pt idx="6">
                  <c:v>0.73896848825894423</c:v>
                </c:pt>
                <c:pt idx="7">
                  <c:v>0.92716382781175322</c:v>
                </c:pt>
                <c:pt idx="8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2446208"/>
        <c:axId val="232448000"/>
      </c:scatterChart>
      <c:valAx>
        <c:axId val="23244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2448000"/>
        <c:crosses val="autoZero"/>
        <c:crossBetween val="midCat"/>
      </c:valAx>
      <c:valAx>
        <c:axId val="232448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324462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Sheet1!$D$68</c:f>
              <c:strCache>
                <c:ptCount val="1"/>
                <c:pt idx="0">
                  <c:v>y</c:v>
                </c:pt>
              </c:strCache>
            </c:strRef>
          </c:tx>
          <c:marker>
            <c:symbol val="none"/>
          </c:marker>
          <c:xVal>
            <c:numRef>
              <c:f>Sheet1!$C$69:$C$85</c:f>
              <c:numCache>
                <c:formatCode>General</c:formatCode>
                <c:ptCount val="17"/>
                <c:pt idx="0">
                  <c:v>-2.2000000000000002</c:v>
                </c:pt>
                <c:pt idx="1">
                  <c:v>-2.0625</c:v>
                </c:pt>
                <c:pt idx="2">
                  <c:v>-1.9250000000000003</c:v>
                </c:pt>
                <c:pt idx="3">
                  <c:v>-1.7875000000000001</c:v>
                </c:pt>
                <c:pt idx="4">
                  <c:v>-1.6500000000000001</c:v>
                </c:pt>
                <c:pt idx="5">
                  <c:v>-1.5125000000000002</c:v>
                </c:pt>
                <c:pt idx="6">
                  <c:v>-1.375</c:v>
                </c:pt>
                <c:pt idx="7">
                  <c:v>-1.2375</c:v>
                </c:pt>
                <c:pt idx="8">
                  <c:v>-1.1000000000000001</c:v>
                </c:pt>
                <c:pt idx="9">
                  <c:v>-0.96250000000000013</c:v>
                </c:pt>
                <c:pt idx="10">
                  <c:v>-0.82500000000000018</c:v>
                </c:pt>
                <c:pt idx="11">
                  <c:v>-0.6875</c:v>
                </c:pt>
                <c:pt idx="12">
                  <c:v>-0.55000000000000004</c:v>
                </c:pt>
                <c:pt idx="13">
                  <c:v>-0.41250000000000009</c:v>
                </c:pt>
                <c:pt idx="14">
                  <c:v>-0.27499999999999991</c:v>
                </c:pt>
                <c:pt idx="15">
                  <c:v>-0.13750000000000018</c:v>
                </c:pt>
                <c:pt idx="16">
                  <c:v>0</c:v>
                </c:pt>
              </c:numCache>
            </c:numRef>
          </c:xVal>
          <c:yVal>
            <c:numRef>
              <c:f>Sheet1!$D$69:$D$85</c:f>
              <c:numCache>
                <c:formatCode>General</c:formatCode>
                <c:ptCount val="17"/>
                <c:pt idx="0">
                  <c:v>7.9070540515934346E-3</c:v>
                </c:pt>
                <c:pt idx="1">
                  <c:v>1.4208622931196246E-2</c:v>
                </c:pt>
                <c:pt idx="2">
                  <c:v>2.4584847035512634E-2</c:v>
                </c:pt>
                <c:pt idx="3">
                  <c:v>4.0960124856546529E-2</c:v>
                </c:pt>
                <c:pt idx="4">
                  <c:v>6.5710273227502822E-2</c:v>
                </c:pt>
                <c:pt idx="5">
                  <c:v>0.10150408347791953</c:v>
                </c:pt>
                <c:pt idx="6">
                  <c:v>0.15097741845591461</c:v>
                </c:pt>
                <c:pt idx="7">
                  <c:v>0.21623137803738826</c:v>
                </c:pt>
                <c:pt idx="8">
                  <c:v>0.29819727942988733</c:v>
                </c:pt>
                <c:pt idx="9">
                  <c:v>0.3959741886613819</c:v>
                </c:pt>
                <c:pt idx="10">
                  <c:v>0.50630045567338122</c:v>
                </c:pt>
                <c:pt idx="11">
                  <c:v>0.62334430895963433</c:v>
                </c:pt>
                <c:pt idx="12">
                  <c:v>0.73896848825894423</c:v>
                </c:pt>
                <c:pt idx="13">
                  <c:v>0.84353300426689681</c:v>
                </c:pt>
                <c:pt idx="14">
                  <c:v>0.92716382781175322</c:v>
                </c:pt>
                <c:pt idx="15">
                  <c:v>0.98127135211997429</c:v>
                </c:pt>
                <c:pt idx="16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646272"/>
        <c:axId val="246647808"/>
      </c:scatterChart>
      <c:valAx>
        <c:axId val="246646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6647808"/>
        <c:crosses val="autoZero"/>
        <c:crossBetween val="midCat"/>
      </c:valAx>
      <c:valAx>
        <c:axId val="246647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664627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195262</xdr:colOff>
      <xdr:row>2</xdr:row>
      <xdr:rowOff>190499</xdr:rowOff>
    </xdr:from>
    <xdr:to>
      <xdr:col>19</xdr:col>
      <xdr:colOff>500062</xdr:colOff>
      <xdr:row>26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223837</xdr:colOff>
      <xdr:row>38</xdr:row>
      <xdr:rowOff>171449</xdr:rowOff>
    </xdr:from>
    <xdr:to>
      <xdr:col>19</xdr:col>
      <xdr:colOff>528637</xdr:colOff>
      <xdr:row>61</xdr:row>
      <xdr:rowOff>180974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223837</xdr:colOff>
      <xdr:row>66</xdr:row>
      <xdr:rowOff>171449</xdr:rowOff>
    </xdr:from>
    <xdr:to>
      <xdr:col>19</xdr:col>
      <xdr:colOff>528637</xdr:colOff>
      <xdr:row>89</xdr:row>
      <xdr:rowOff>180974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1"/>
  <sheetViews>
    <sheetView tabSelected="1" workbookViewId="0">
      <selection activeCell="J68" sqref="J68"/>
    </sheetView>
  </sheetViews>
  <sheetFormatPr defaultRowHeight="15" x14ac:dyDescent="0.25"/>
  <cols>
    <col min="5" max="5" width="10.5703125" bestFit="1" customWidth="1"/>
  </cols>
  <sheetData>
    <row r="1" spans="1:23" x14ac:dyDescent="0.25">
      <c r="A1" t="s">
        <v>6</v>
      </c>
    </row>
    <row r="2" spans="1:23" x14ac:dyDescent="0.25">
      <c r="A2" t="s">
        <v>4</v>
      </c>
      <c r="B2">
        <v>32</v>
      </c>
      <c r="C2">
        <v>-2.2000000000000002</v>
      </c>
      <c r="F2" t="s">
        <v>2</v>
      </c>
      <c r="G2" t="s">
        <v>2</v>
      </c>
      <c r="H2" t="s">
        <v>2</v>
      </c>
    </row>
    <row r="3" spans="1:23" x14ac:dyDescent="0.25">
      <c r="A3" t="s">
        <v>3</v>
      </c>
      <c r="B3">
        <f>C2/B2</f>
        <v>-6.8750000000000006E-2</v>
      </c>
      <c r="C3" t="s">
        <v>0</v>
      </c>
      <c r="D3" t="s">
        <v>1</v>
      </c>
      <c r="F3">
        <v>45</v>
      </c>
      <c r="G3">
        <v>6.25</v>
      </c>
      <c r="H3">
        <v>22</v>
      </c>
      <c r="J3">
        <v>0</v>
      </c>
      <c r="K3" s="1">
        <v>0</v>
      </c>
      <c r="L3" s="2">
        <v>0</v>
      </c>
    </row>
    <row r="4" spans="1:23" x14ac:dyDescent="0.25">
      <c r="A4">
        <v>0</v>
      </c>
      <c r="C4">
        <f>C$2+A4*(-C$2/B$2)</f>
        <v>-2.2000000000000002</v>
      </c>
      <c r="D4">
        <f t="shared" ref="D4:D36" si="0">EXP(-(C4^2))</f>
        <v>7.9070540515934346E-3</v>
      </c>
      <c r="F4" s="2">
        <f t="shared" ref="F4:H23" si="1">F$3*$D4</f>
        <v>0.35581743232170454</v>
      </c>
      <c r="G4" s="2">
        <f t="shared" si="1"/>
        <v>4.9419087822458962E-2</v>
      </c>
      <c r="H4" s="2">
        <f t="shared" si="1"/>
        <v>0.17395518913505556</v>
      </c>
      <c r="J4">
        <v>1</v>
      </c>
      <c r="K4" s="1">
        <v>6.25</v>
      </c>
      <c r="L4" s="2">
        <v>6.25</v>
      </c>
    </row>
    <row r="5" spans="1:23" x14ac:dyDescent="0.25">
      <c r="A5">
        <v>1</v>
      </c>
      <c r="B5">
        <f>C4-C5</f>
        <v>-6.8750000000000089E-2</v>
      </c>
      <c r="C5">
        <f t="shared" ref="C5:C36" si="2">C$2+A5*(-C$2/B$2)</f>
        <v>-2.1312500000000001</v>
      </c>
      <c r="D5">
        <f t="shared" si="0"/>
        <v>1.0649667984254813E-2</v>
      </c>
      <c r="F5" s="2">
        <f t="shared" si="1"/>
        <v>0.47923505929146659</v>
      </c>
      <c r="G5" s="2">
        <f t="shared" si="1"/>
        <v>6.6560424901592585E-2</v>
      </c>
      <c r="H5" s="2">
        <f t="shared" si="1"/>
        <v>0.23429269565360589</v>
      </c>
      <c r="J5">
        <v>2</v>
      </c>
      <c r="K5" s="1">
        <v>12.5</v>
      </c>
      <c r="L5" s="2">
        <v>12.5</v>
      </c>
    </row>
    <row r="6" spans="1:23" x14ac:dyDescent="0.25">
      <c r="A6">
        <v>2</v>
      </c>
      <c r="B6">
        <f t="shared" ref="B6:B36" si="3">C5-C6</f>
        <v>-6.8750000000000089E-2</v>
      </c>
      <c r="C6">
        <f t="shared" si="2"/>
        <v>-2.0625</v>
      </c>
      <c r="D6">
        <f t="shared" si="0"/>
        <v>1.4208622931196246E-2</v>
      </c>
      <c r="F6" s="2">
        <f t="shared" si="1"/>
        <v>0.63938803190383109</v>
      </c>
      <c r="G6" s="2">
        <f t="shared" si="1"/>
        <v>8.880389331997654E-2</v>
      </c>
      <c r="H6" s="2">
        <f t="shared" si="1"/>
        <v>0.3125897044863174</v>
      </c>
      <c r="J6">
        <v>3</v>
      </c>
      <c r="K6" s="1">
        <v>18.75</v>
      </c>
      <c r="L6" s="2">
        <v>18.75</v>
      </c>
    </row>
    <row r="7" spans="1:23" x14ac:dyDescent="0.25">
      <c r="A7">
        <v>3</v>
      </c>
      <c r="B7">
        <f t="shared" si="3"/>
        <v>-6.8749999999999867E-2</v>
      </c>
      <c r="C7">
        <f t="shared" si="2"/>
        <v>-1.9937500000000001</v>
      </c>
      <c r="D7">
        <f t="shared" si="0"/>
        <v>1.877856794254704E-2</v>
      </c>
      <c r="F7" s="2">
        <f t="shared" si="1"/>
        <v>0.84503555741461678</v>
      </c>
      <c r="G7" s="2">
        <f t="shared" si="1"/>
        <v>0.117366049640919</v>
      </c>
      <c r="H7" s="2">
        <f t="shared" si="1"/>
        <v>0.41312849473603486</v>
      </c>
      <c r="J7">
        <v>4</v>
      </c>
      <c r="K7" s="1">
        <v>25</v>
      </c>
      <c r="L7" s="2">
        <v>25</v>
      </c>
    </row>
    <row r="8" spans="1:23" x14ac:dyDescent="0.25">
      <c r="A8">
        <v>4</v>
      </c>
      <c r="B8">
        <f t="shared" si="3"/>
        <v>-6.8749999999999867E-2</v>
      </c>
      <c r="C8">
        <f t="shared" si="2"/>
        <v>-1.9250000000000003</v>
      </c>
      <c r="D8">
        <f t="shared" si="0"/>
        <v>2.4584847035512634E-2</v>
      </c>
      <c r="F8" s="2">
        <f t="shared" si="1"/>
        <v>1.1063181165980684</v>
      </c>
      <c r="G8" s="2">
        <f t="shared" si="1"/>
        <v>0.15365529397195396</v>
      </c>
      <c r="H8" s="2">
        <f t="shared" si="1"/>
        <v>0.54086663478127794</v>
      </c>
      <c r="J8">
        <v>5</v>
      </c>
      <c r="K8" s="1">
        <v>31.25</v>
      </c>
      <c r="L8" s="2">
        <v>31.25</v>
      </c>
      <c r="W8">
        <f>159*0.2</f>
        <v>31.8</v>
      </c>
    </row>
    <row r="9" spans="1:23" x14ac:dyDescent="0.25">
      <c r="A9">
        <v>5</v>
      </c>
      <c r="B9">
        <f t="shared" si="3"/>
        <v>-6.8750000000000089E-2</v>
      </c>
      <c r="C9">
        <f t="shared" si="2"/>
        <v>-1.8562500000000002</v>
      </c>
      <c r="D9">
        <f t="shared" si="0"/>
        <v>3.1883582319672234E-2</v>
      </c>
      <c r="F9" s="2">
        <f t="shared" si="1"/>
        <v>1.4347612043852505</v>
      </c>
      <c r="G9" s="2">
        <f t="shared" si="1"/>
        <v>0.19927238949795145</v>
      </c>
      <c r="H9" s="2">
        <f t="shared" si="1"/>
        <v>0.70143881103278916</v>
      </c>
      <c r="J9">
        <v>6</v>
      </c>
      <c r="K9" s="1">
        <v>37.5</v>
      </c>
      <c r="L9" s="2">
        <v>37.5</v>
      </c>
    </row>
    <row r="10" spans="1:23" x14ac:dyDescent="0.25">
      <c r="A10">
        <v>6</v>
      </c>
      <c r="B10">
        <f t="shared" si="3"/>
        <v>-6.8750000000000089E-2</v>
      </c>
      <c r="C10">
        <f t="shared" si="2"/>
        <v>-1.7875000000000001</v>
      </c>
      <c r="D10">
        <f t="shared" si="0"/>
        <v>4.0960124856546529E-2</v>
      </c>
      <c r="F10" s="2">
        <f t="shared" si="1"/>
        <v>1.8432056185445937</v>
      </c>
      <c r="G10" s="2">
        <f t="shared" si="1"/>
        <v>0.25600078035341578</v>
      </c>
      <c r="H10" s="2">
        <f t="shared" si="1"/>
        <v>0.9011227468440236</v>
      </c>
      <c r="J10">
        <v>7</v>
      </c>
      <c r="K10" s="1">
        <v>43.75</v>
      </c>
      <c r="L10" s="2">
        <v>43.75</v>
      </c>
    </row>
    <row r="11" spans="1:23" x14ac:dyDescent="0.25">
      <c r="A11">
        <v>7</v>
      </c>
      <c r="B11">
        <f t="shared" si="3"/>
        <v>-6.8750000000000089E-2</v>
      </c>
      <c r="C11">
        <f t="shared" si="2"/>
        <v>-1.71875</v>
      </c>
      <c r="D11">
        <f t="shared" si="0"/>
        <v>5.2125471022558476E-2</v>
      </c>
      <c r="F11" s="2">
        <f t="shared" si="1"/>
        <v>2.3456461960151316</v>
      </c>
      <c r="G11" s="2">
        <f t="shared" si="1"/>
        <v>0.32578419389099045</v>
      </c>
      <c r="H11" s="2">
        <f t="shared" si="1"/>
        <v>1.1467603624962865</v>
      </c>
    </row>
    <row r="12" spans="1:23" x14ac:dyDescent="0.25">
      <c r="A12">
        <v>8</v>
      </c>
      <c r="B12">
        <f t="shared" si="3"/>
        <v>-6.8749999999999867E-2</v>
      </c>
      <c r="C12">
        <f t="shared" si="2"/>
        <v>-1.6500000000000001</v>
      </c>
      <c r="D12">
        <f t="shared" si="0"/>
        <v>6.5710273227502822E-2</v>
      </c>
      <c r="F12" s="2">
        <f t="shared" si="1"/>
        <v>2.9569622952376271</v>
      </c>
      <c r="G12" s="2">
        <f t="shared" si="1"/>
        <v>0.41068920767189265</v>
      </c>
      <c r="H12" s="2">
        <f t="shared" si="1"/>
        <v>1.4456260110050621</v>
      </c>
    </row>
    <row r="13" spans="1:23" x14ac:dyDescent="0.25">
      <c r="A13">
        <v>9</v>
      </c>
      <c r="B13">
        <f t="shared" si="3"/>
        <v>-6.8749999999999867E-2</v>
      </c>
      <c r="C13">
        <f t="shared" si="2"/>
        <v>-1.5812500000000003</v>
      </c>
      <c r="D13">
        <f t="shared" si="0"/>
        <v>8.20561456886722E-2</v>
      </c>
      <c r="F13" s="2">
        <f t="shared" si="1"/>
        <v>3.6925265559902489</v>
      </c>
      <c r="G13" s="2">
        <f t="shared" si="1"/>
        <v>0.51285091055420129</v>
      </c>
      <c r="H13" s="2">
        <f t="shared" si="1"/>
        <v>1.8052352051507885</v>
      </c>
    </row>
    <row r="14" spans="1:23" x14ac:dyDescent="0.25">
      <c r="A14">
        <v>10</v>
      </c>
      <c r="B14">
        <f t="shared" si="3"/>
        <v>-6.8750000000000089E-2</v>
      </c>
      <c r="C14">
        <f t="shared" si="2"/>
        <v>-1.5125000000000002</v>
      </c>
      <c r="D14">
        <f t="shared" si="0"/>
        <v>0.10150408347791953</v>
      </c>
      <c r="F14" s="2">
        <f t="shared" si="1"/>
        <v>4.567683756506379</v>
      </c>
      <c r="G14" s="2">
        <f t="shared" si="1"/>
        <v>0.63440052173699713</v>
      </c>
      <c r="H14" s="2">
        <f t="shared" si="1"/>
        <v>2.2330898365142295</v>
      </c>
    </row>
    <row r="15" spans="1:23" x14ac:dyDescent="0.25">
      <c r="A15">
        <v>11</v>
      </c>
      <c r="B15">
        <f t="shared" si="3"/>
        <v>-6.8750000000000089E-2</v>
      </c>
      <c r="C15">
        <f t="shared" si="2"/>
        <v>-1.4437500000000001</v>
      </c>
      <c r="D15">
        <f t="shared" si="0"/>
        <v>0.12437997771190125</v>
      </c>
      <c r="F15" s="2">
        <f t="shared" si="1"/>
        <v>5.5970989970355562</v>
      </c>
      <c r="G15" s="2">
        <f t="shared" si="1"/>
        <v>0.77737486069938277</v>
      </c>
      <c r="H15" s="2">
        <f t="shared" si="1"/>
        <v>2.7363595096618276</v>
      </c>
    </row>
    <row r="16" spans="1:23" x14ac:dyDescent="0.25">
      <c r="A16">
        <v>12</v>
      </c>
      <c r="B16">
        <f t="shared" si="3"/>
        <v>-6.8750000000000089E-2</v>
      </c>
      <c r="C16">
        <f t="shared" si="2"/>
        <v>-1.375</v>
      </c>
      <c r="D16">
        <f t="shared" si="0"/>
        <v>0.15097741845591461</v>
      </c>
      <c r="F16" s="2">
        <f t="shared" si="1"/>
        <v>6.793983830516158</v>
      </c>
      <c r="G16" s="2">
        <f t="shared" si="1"/>
        <v>0.94360886534946631</v>
      </c>
      <c r="H16" s="2">
        <f t="shared" si="1"/>
        <v>3.3215032060301217</v>
      </c>
    </row>
    <row r="17" spans="1:8" x14ac:dyDescent="0.25">
      <c r="A17">
        <v>13</v>
      </c>
      <c r="B17">
        <f t="shared" si="3"/>
        <v>-6.8749999999999867E-2</v>
      </c>
      <c r="C17">
        <f t="shared" si="2"/>
        <v>-1.3062500000000001</v>
      </c>
      <c r="D17">
        <f t="shared" si="0"/>
        <v>0.18153822116790386</v>
      </c>
      <c r="F17" s="2">
        <f t="shared" si="1"/>
        <v>8.1692199525556735</v>
      </c>
      <c r="G17" s="2">
        <f t="shared" si="1"/>
        <v>1.1346138822993992</v>
      </c>
      <c r="H17" s="2">
        <f t="shared" si="1"/>
        <v>3.9938408656938851</v>
      </c>
    </row>
    <row r="18" spans="1:8" x14ac:dyDescent="0.25">
      <c r="A18">
        <v>14</v>
      </c>
      <c r="B18">
        <f t="shared" si="3"/>
        <v>-6.8750000000000089E-2</v>
      </c>
      <c r="C18">
        <f t="shared" si="2"/>
        <v>-1.2375</v>
      </c>
      <c r="D18">
        <f t="shared" si="0"/>
        <v>0.21623137803738826</v>
      </c>
      <c r="F18" s="2">
        <f t="shared" si="1"/>
        <v>9.7304120116824713</v>
      </c>
      <c r="G18" s="2">
        <f t="shared" si="1"/>
        <v>1.3514461127336765</v>
      </c>
      <c r="H18" s="2">
        <f t="shared" si="1"/>
        <v>4.7570903168225414</v>
      </c>
    </row>
    <row r="19" spans="1:8" x14ac:dyDescent="0.25">
      <c r="A19">
        <v>15</v>
      </c>
      <c r="B19">
        <f t="shared" si="3"/>
        <v>-6.8749999999999867E-2</v>
      </c>
      <c r="C19">
        <f t="shared" si="2"/>
        <v>-1.1687500000000002</v>
      </c>
      <c r="D19">
        <f t="shared" si="0"/>
        <v>0.25513140253204813</v>
      </c>
      <c r="F19" s="2">
        <f t="shared" si="1"/>
        <v>11.480913113942165</v>
      </c>
      <c r="G19" s="2">
        <f t="shared" si="1"/>
        <v>1.5945712658253008</v>
      </c>
      <c r="H19" s="2">
        <f t="shared" si="1"/>
        <v>5.612890855705059</v>
      </c>
    </row>
    <row r="20" spans="1:8" x14ac:dyDescent="0.25">
      <c r="A20">
        <v>16</v>
      </c>
      <c r="B20">
        <f t="shared" si="3"/>
        <v>-6.8750000000000089E-2</v>
      </c>
      <c r="C20">
        <f t="shared" si="2"/>
        <v>-1.1000000000000001</v>
      </c>
      <c r="D20">
        <f t="shared" si="0"/>
        <v>0.29819727942988733</v>
      </c>
      <c r="F20" s="2">
        <f t="shared" si="1"/>
        <v>13.418877574344929</v>
      </c>
      <c r="G20" s="2">
        <f t="shared" si="1"/>
        <v>1.8637329964367959</v>
      </c>
      <c r="H20" s="2">
        <f t="shared" si="1"/>
        <v>6.5603401474575209</v>
      </c>
    </row>
    <row r="21" spans="1:8" x14ac:dyDescent="0.25">
      <c r="A21">
        <v>17</v>
      </c>
      <c r="B21">
        <f t="shared" si="3"/>
        <v>-6.8750000000000089E-2</v>
      </c>
      <c r="C21">
        <f t="shared" si="2"/>
        <v>-1.03125</v>
      </c>
      <c r="D21">
        <f t="shared" si="0"/>
        <v>0.34525342634454376</v>
      </c>
      <c r="F21" s="2">
        <f t="shared" si="1"/>
        <v>15.53640418550447</v>
      </c>
      <c r="G21" s="2">
        <f t="shared" si="1"/>
        <v>2.1578339146533985</v>
      </c>
      <c r="H21" s="2">
        <f t="shared" si="1"/>
        <v>7.5955753795799623</v>
      </c>
    </row>
    <row r="22" spans="1:8" x14ac:dyDescent="0.25">
      <c r="A22">
        <v>18</v>
      </c>
      <c r="B22">
        <f t="shared" si="3"/>
        <v>-6.8749999999999867E-2</v>
      </c>
      <c r="C22">
        <f t="shared" si="2"/>
        <v>-0.96250000000000013</v>
      </c>
      <c r="D22">
        <f t="shared" si="0"/>
        <v>0.3959741886613819</v>
      </c>
      <c r="F22" s="2">
        <f t="shared" si="1"/>
        <v>17.818838489762186</v>
      </c>
      <c r="G22" s="2">
        <f t="shared" si="1"/>
        <v>2.474838679133637</v>
      </c>
      <c r="H22" s="2">
        <f t="shared" si="1"/>
        <v>8.7114321505504009</v>
      </c>
    </row>
    <row r="23" spans="1:8" x14ac:dyDescent="0.25">
      <c r="A23">
        <v>19</v>
      </c>
      <c r="B23">
        <f t="shared" si="3"/>
        <v>-6.8750000000000089E-2</v>
      </c>
      <c r="C23">
        <f t="shared" si="2"/>
        <v>-0.89375000000000004</v>
      </c>
      <c r="D23">
        <f t="shared" si="0"/>
        <v>0.44987340298389827</v>
      </c>
      <c r="F23" s="2">
        <f t="shared" si="1"/>
        <v>20.244303134275423</v>
      </c>
      <c r="G23" s="2">
        <f t="shared" si="1"/>
        <v>2.811708768649364</v>
      </c>
      <c r="H23" s="2">
        <f t="shared" si="1"/>
        <v>9.8972148656457613</v>
      </c>
    </row>
    <row r="24" spans="1:8" x14ac:dyDescent="0.25">
      <c r="A24">
        <v>20</v>
      </c>
      <c r="B24">
        <f t="shared" si="3"/>
        <v>-6.8749999999999867E-2</v>
      </c>
      <c r="C24">
        <f t="shared" si="2"/>
        <v>-0.82500000000000018</v>
      </c>
      <c r="D24">
        <f t="shared" si="0"/>
        <v>0.50630045567338122</v>
      </c>
      <c r="F24" s="2">
        <f t="shared" ref="F24:H36" si="4">F$3*$D24</f>
        <v>22.783520505302157</v>
      </c>
      <c r="G24" s="2">
        <f t="shared" si="4"/>
        <v>3.1643778479586326</v>
      </c>
      <c r="H24" s="2">
        <f t="shared" si="4"/>
        <v>11.138610024814387</v>
      </c>
    </row>
    <row r="25" spans="1:8" x14ac:dyDescent="0.25">
      <c r="A25">
        <v>21</v>
      </c>
      <c r="B25">
        <f t="shared" si="3"/>
        <v>-6.8750000000000089E-2</v>
      </c>
      <c r="C25">
        <f t="shared" si="2"/>
        <v>-0.75625000000000009</v>
      </c>
      <c r="D25">
        <f t="shared" si="0"/>
        <v>0.56444402294335849</v>
      </c>
      <c r="F25" s="2">
        <f t="shared" si="4"/>
        <v>25.399981032451134</v>
      </c>
      <c r="G25" s="2">
        <f t="shared" si="4"/>
        <v>3.5277751433959907</v>
      </c>
      <c r="H25" s="2">
        <f t="shared" si="4"/>
        <v>12.417768504753887</v>
      </c>
    </row>
    <row r="26" spans="1:8" x14ac:dyDescent="0.25">
      <c r="A26">
        <v>22</v>
      </c>
      <c r="B26">
        <f t="shared" si="3"/>
        <v>-6.8750000000000089E-2</v>
      </c>
      <c r="C26">
        <f t="shared" si="2"/>
        <v>-0.6875</v>
      </c>
      <c r="D26">
        <f t="shared" si="0"/>
        <v>0.62334430895963433</v>
      </c>
      <c r="F26" s="2">
        <f t="shared" si="4"/>
        <v>28.050493903183543</v>
      </c>
      <c r="G26" s="2">
        <f t="shared" si="4"/>
        <v>3.8959019309977148</v>
      </c>
      <c r="H26" s="2">
        <f t="shared" si="4"/>
        <v>13.713574797111955</v>
      </c>
    </row>
    <row r="27" spans="1:8" x14ac:dyDescent="0.25">
      <c r="A27">
        <v>23</v>
      </c>
      <c r="B27">
        <f t="shared" si="3"/>
        <v>-6.8749999999999867E-2</v>
      </c>
      <c r="C27">
        <f t="shared" si="2"/>
        <v>-0.61875000000000013</v>
      </c>
      <c r="D27">
        <f t="shared" si="0"/>
        <v>0.68191411340002739</v>
      </c>
      <c r="F27" s="2">
        <f t="shared" si="4"/>
        <v>30.686135103001231</v>
      </c>
      <c r="G27" s="2">
        <f t="shared" si="4"/>
        <v>4.2619632087501715</v>
      </c>
      <c r="H27" s="2">
        <f t="shared" si="4"/>
        <v>15.002110494800602</v>
      </c>
    </row>
    <row r="28" spans="1:8" x14ac:dyDescent="0.25">
      <c r="A28">
        <v>24</v>
      </c>
      <c r="B28">
        <f t="shared" si="3"/>
        <v>-6.8750000000000089E-2</v>
      </c>
      <c r="C28">
        <f t="shared" si="2"/>
        <v>-0.55000000000000004</v>
      </c>
      <c r="D28">
        <f t="shared" si="0"/>
        <v>0.73896848825894423</v>
      </c>
      <c r="F28" s="2">
        <f t="shared" si="4"/>
        <v>33.253581971652494</v>
      </c>
      <c r="G28" s="2">
        <f t="shared" si="4"/>
        <v>4.6185530516184015</v>
      </c>
      <c r="H28" s="2">
        <f t="shared" si="4"/>
        <v>16.257306741696773</v>
      </c>
    </row>
    <row r="29" spans="1:8" x14ac:dyDescent="0.25">
      <c r="A29">
        <v>25</v>
      </c>
      <c r="B29">
        <f t="shared" si="3"/>
        <v>-6.8750000000000089E-2</v>
      </c>
      <c r="C29">
        <f t="shared" si="2"/>
        <v>-0.48124999999999996</v>
      </c>
      <c r="D29">
        <f t="shared" si="0"/>
        <v>0.79326212572711541</v>
      </c>
      <c r="F29" s="2">
        <f t="shared" si="4"/>
        <v>35.696795657720195</v>
      </c>
      <c r="G29" s="2">
        <f t="shared" si="4"/>
        <v>4.9578882857944713</v>
      </c>
      <c r="H29" s="2">
        <f t="shared" si="4"/>
        <v>17.451766765996538</v>
      </c>
    </row>
    <row r="30" spans="1:8" x14ac:dyDescent="0.25">
      <c r="A30">
        <v>26</v>
      </c>
      <c r="B30">
        <f t="shared" si="3"/>
        <v>-6.8749999999999867E-2</v>
      </c>
      <c r="C30">
        <f t="shared" si="2"/>
        <v>-0.41250000000000009</v>
      </c>
      <c r="D30">
        <f t="shared" si="0"/>
        <v>0.84353300426689681</v>
      </c>
      <c r="F30" s="2">
        <f t="shared" si="4"/>
        <v>37.95898519201036</v>
      </c>
      <c r="G30" s="2">
        <f t="shared" si="4"/>
        <v>5.2720812766681053</v>
      </c>
      <c r="H30" s="2">
        <f t="shared" si="4"/>
        <v>18.557726093871729</v>
      </c>
    </row>
    <row r="31" spans="1:8" x14ac:dyDescent="0.25">
      <c r="A31">
        <v>27</v>
      </c>
      <c r="B31">
        <f t="shared" si="3"/>
        <v>-6.8750000000000089E-2</v>
      </c>
      <c r="C31">
        <f t="shared" si="2"/>
        <v>-0.34375</v>
      </c>
      <c r="D31">
        <f t="shared" si="0"/>
        <v>0.88855026287812666</v>
      </c>
      <c r="F31" s="2">
        <f t="shared" si="4"/>
        <v>39.984761829515698</v>
      </c>
      <c r="G31" s="2">
        <f t="shared" si="4"/>
        <v>5.5534391429882914</v>
      </c>
      <c r="H31" s="2">
        <f t="shared" si="4"/>
        <v>19.548105783318785</v>
      </c>
    </row>
    <row r="32" spans="1:8" x14ac:dyDescent="0.25">
      <c r="A32">
        <v>28</v>
      </c>
      <c r="B32">
        <f t="shared" si="3"/>
        <v>-6.8750000000000089E-2</v>
      </c>
      <c r="C32">
        <f t="shared" si="2"/>
        <v>-0.27499999999999991</v>
      </c>
      <c r="D32">
        <f t="shared" si="0"/>
        <v>0.92716382781175322</v>
      </c>
      <c r="F32" s="2">
        <f t="shared" si="4"/>
        <v>41.722372251528896</v>
      </c>
      <c r="G32" s="2">
        <f t="shared" si="4"/>
        <v>5.7947739238234579</v>
      </c>
      <c r="H32" s="2">
        <f t="shared" si="4"/>
        <v>20.397604211858571</v>
      </c>
    </row>
    <row r="33" spans="1:12" x14ac:dyDescent="0.25">
      <c r="A33">
        <v>29</v>
      </c>
      <c r="B33">
        <f t="shared" si="3"/>
        <v>-6.8749999999999867E-2</v>
      </c>
      <c r="C33">
        <f t="shared" si="2"/>
        <v>-0.20625000000000004</v>
      </c>
      <c r="D33">
        <f t="shared" si="0"/>
        <v>0.95835302912457188</v>
      </c>
      <c r="F33" s="2">
        <f t="shared" si="4"/>
        <v>43.125886310605736</v>
      </c>
      <c r="G33" s="2">
        <f t="shared" si="4"/>
        <v>5.9897064320285747</v>
      </c>
      <c r="H33" s="2">
        <f t="shared" si="4"/>
        <v>21.083766640740581</v>
      </c>
    </row>
    <row r="34" spans="1:12" x14ac:dyDescent="0.25">
      <c r="A34">
        <v>30</v>
      </c>
      <c r="B34">
        <f t="shared" si="3"/>
        <v>-6.8749999999999867E-2</v>
      </c>
      <c r="C34">
        <f t="shared" si="2"/>
        <v>-0.13750000000000018</v>
      </c>
      <c r="D34">
        <f t="shared" si="0"/>
        <v>0.98127135211997429</v>
      </c>
      <c r="F34" s="2">
        <f t="shared" si="4"/>
        <v>44.157210845398843</v>
      </c>
      <c r="G34" s="2">
        <f t="shared" si="4"/>
        <v>6.1329459507498392</v>
      </c>
      <c r="H34" s="2">
        <f t="shared" si="4"/>
        <v>21.587969746639434</v>
      </c>
    </row>
    <row r="35" spans="1:12" x14ac:dyDescent="0.25">
      <c r="A35">
        <v>31</v>
      </c>
      <c r="B35">
        <f t="shared" si="3"/>
        <v>-6.8750000000000089E-2</v>
      </c>
      <c r="C35">
        <f t="shared" si="2"/>
        <v>-6.8750000000000089E-2</v>
      </c>
      <c r="D35">
        <f t="shared" si="0"/>
        <v>0.99528459011843173</v>
      </c>
      <c r="F35" s="2">
        <f t="shared" si="4"/>
        <v>44.787806555329425</v>
      </c>
      <c r="G35" s="2">
        <f t="shared" si="4"/>
        <v>6.220528688240198</v>
      </c>
      <c r="H35" s="2">
        <f t="shared" si="4"/>
        <v>21.896260982605497</v>
      </c>
    </row>
    <row r="36" spans="1:12" x14ac:dyDescent="0.25">
      <c r="A36">
        <v>32</v>
      </c>
      <c r="B36">
        <f t="shared" si="3"/>
        <v>-6.8750000000000089E-2</v>
      </c>
      <c r="C36">
        <f t="shared" si="2"/>
        <v>0</v>
      </c>
      <c r="D36">
        <f t="shared" si="0"/>
        <v>1</v>
      </c>
      <c r="F36" s="2">
        <f t="shared" si="4"/>
        <v>45</v>
      </c>
      <c r="G36" s="2">
        <f t="shared" si="4"/>
        <v>6.25</v>
      </c>
      <c r="H36" s="2">
        <f t="shared" si="4"/>
        <v>22</v>
      </c>
    </row>
    <row r="38" spans="1:12" x14ac:dyDescent="0.25">
      <c r="A38" t="s">
        <v>5</v>
      </c>
    </row>
    <row r="39" spans="1:12" x14ac:dyDescent="0.25">
      <c r="A39" t="s">
        <v>4</v>
      </c>
      <c r="B39">
        <v>8</v>
      </c>
      <c r="C39">
        <v>-2.2000000000000002</v>
      </c>
      <c r="F39" t="s">
        <v>2</v>
      </c>
      <c r="G39" t="s">
        <v>2</v>
      </c>
      <c r="H39" t="s">
        <v>2</v>
      </c>
    </row>
    <row r="40" spans="1:12" x14ac:dyDescent="0.25">
      <c r="A40" t="s">
        <v>3</v>
      </c>
      <c r="C40" t="s">
        <v>0</v>
      </c>
      <c r="D40" t="s">
        <v>1</v>
      </c>
      <c r="F40">
        <v>62.49</v>
      </c>
      <c r="G40">
        <v>20.83</v>
      </c>
      <c r="H40">
        <v>41.66</v>
      </c>
      <c r="J40">
        <v>0</v>
      </c>
      <c r="K40" s="1">
        <v>0</v>
      </c>
      <c r="L40" s="2">
        <v>0</v>
      </c>
    </row>
    <row r="41" spans="1:12" x14ac:dyDescent="0.25">
      <c r="A41">
        <v>0</v>
      </c>
      <c r="C41">
        <f t="shared" ref="C41:C49" si="5">C$39+A41*(-C$2/B$39)</f>
        <v>-2.2000000000000002</v>
      </c>
      <c r="D41">
        <f t="shared" ref="D41:D48" si="6">EXP(-(C41^2))</f>
        <v>7.9070540515934346E-3</v>
      </c>
      <c r="F41" s="2">
        <f t="shared" ref="F41:H48" si="7">F$40*$D41</f>
        <v>0.49411180768407376</v>
      </c>
      <c r="G41" s="2">
        <f t="shared" si="7"/>
        <v>0.16470393589469123</v>
      </c>
      <c r="H41" s="2">
        <f t="shared" si="7"/>
        <v>0.32940787178938247</v>
      </c>
      <c r="J41">
        <v>1</v>
      </c>
      <c r="K41" s="1">
        <f>J41*20.83</f>
        <v>20.83</v>
      </c>
      <c r="L41" s="2">
        <v>20.83</v>
      </c>
    </row>
    <row r="42" spans="1:12" x14ac:dyDescent="0.25">
      <c r="A42">
        <v>1</v>
      </c>
      <c r="B42">
        <f>C41-C42</f>
        <v>-0.27499999999999991</v>
      </c>
      <c r="C42">
        <f t="shared" si="5"/>
        <v>-1.9250000000000003</v>
      </c>
      <c r="D42">
        <f t="shared" si="6"/>
        <v>2.4584847035512634E-2</v>
      </c>
      <c r="F42" s="2">
        <f t="shared" si="7"/>
        <v>1.5363070912491845</v>
      </c>
      <c r="G42" s="2">
        <f t="shared" si="7"/>
        <v>0.51210236374972817</v>
      </c>
      <c r="H42" s="2">
        <f t="shared" si="7"/>
        <v>1.0242047274994563</v>
      </c>
      <c r="J42">
        <v>2</v>
      </c>
      <c r="K42" s="1">
        <f t="shared" ref="K42:K43" si="8">J42*20.83</f>
        <v>41.66</v>
      </c>
      <c r="L42" s="2">
        <v>41.66</v>
      </c>
    </row>
    <row r="43" spans="1:12" x14ac:dyDescent="0.25">
      <c r="A43">
        <v>2</v>
      </c>
      <c r="B43">
        <f t="shared" ref="B43:B49" si="9">C42-C43</f>
        <v>-0.27500000000000013</v>
      </c>
      <c r="C43">
        <f t="shared" si="5"/>
        <v>-1.6500000000000001</v>
      </c>
      <c r="D43">
        <f t="shared" si="6"/>
        <v>6.5710273227502822E-2</v>
      </c>
      <c r="F43" s="2">
        <f t="shared" si="7"/>
        <v>4.106234973986651</v>
      </c>
      <c r="G43" s="2">
        <f t="shared" si="7"/>
        <v>1.3687449913288836</v>
      </c>
      <c r="H43" s="2">
        <f t="shared" si="7"/>
        <v>2.7374899826577672</v>
      </c>
      <c r="J43">
        <v>3</v>
      </c>
      <c r="K43" s="1">
        <f t="shared" si="8"/>
        <v>62.489999999999995</v>
      </c>
      <c r="L43" s="2">
        <v>62.489999999999995</v>
      </c>
    </row>
    <row r="44" spans="1:12" x14ac:dyDescent="0.25">
      <c r="A44">
        <v>3</v>
      </c>
      <c r="B44">
        <f t="shared" si="9"/>
        <v>-0.27500000000000013</v>
      </c>
      <c r="C44">
        <f t="shared" si="5"/>
        <v>-1.375</v>
      </c>
      <c r="D44">
        <f t="shared" si="6"/>
        <v>0.15097741845591461</v>
      </c>
      <c r="F44" s="2">
        <f t="shared" si="7"/>
        <v>9.434578879310104</v>
      </c>
      <c r="G44" s="2">
        <f t="shared" si="7"/>
        <v>3.144859626436701</v>
      </c>
      <c r="H44" s="2">
        <f t="shared" si="7"/>
        <v>6.2897192528734021</v>
      </c>
      <c r="K44" s="1"/>
      <c r="L44" s="2"/>
    </row>
    <row r="45" spans="1:12" x14ac:dyDescent="0.25">
      <c r="A45">
        <v>4</v>
      </c>
      <c r="B45">
        <f t="shared" si="9"/>
        <v>-0.27499999999999991</v>
      </c>
      <c r="C45">
        <f t="shared" si="5"/>
        <v>-1.1000000000000001</v>
      </c>
      <c r="D45">
        <f t="shared" si="6"/>
        <v>0.29819727942988733</v>
      </c>
      <c r="F45" s="2">
        <f t="shared" si="7"/>
        <v>18.634347991573659</v>
      </c>
      <c r="G45" s="2">
        <f t="shared" si="7"/>
        <v>6.2114493305245526</v>
      </c>
      <c r="H45" s="2">
        <f t="shared" si="7"/>
        <v>12.422898661049105</v>
      </c>
      <c r="K45" s="1"/>
      <c r="L45" s="2"/>
    </row>
    <row r="46" spans="1:12" x14ac:dyDescent="0.25">
      <c r="A46">
        <v>5</v>
      </c>
      <c r="B46">
        <f t="shared" si="9"/>
        <v>-0.27499999999999991</v>
      </c>
      <c r="C46">
        <f t="shared" si="5"/>
        <v>-0.82500000000000018</v>
      </c>
      <c r="D46">
        <f t="shared" si="6"/>
        <v>0.50630045567338122</v>
      </c>
      <c r="F46" s="2">
        <f t="shared" si="7"/>
        <v>31.638715475029592</v>
      </c>
      <c r="G46" s="2">
        <f t="shared" si="7"/>
        <v>10.546238491676529</v>
      </c>
      <c r="H46" s="2">
        <f t="shared" si="7"/>
        <v>21.092476983353059</v>
      </c>
      <c r="K46" s="1"/>
      <c r="L46" s="2"/>
    </row>
    <row r="47" spans="1:12" x14ac:dyDescent="0.25">
      <c r="A47">
        <v>6</v>
      </c>
      <c r="B47">
        <f t="shared" si="9"/>
        <v>-0.27500000000000013</v>
      </c>
      <c r="C47">
        <f t="shared" si="5"/>
        <v>-0.55000000000000004</v>
      </c>
      <c r="D47">
        <f t="shared" si="6"/>
        <v>0.73896848825894423</v>
      </c>
      <c r="F47" s="2">
        <f t="shared" si="7"/>
        <v>46.178140831301427</v>
      </c>
      <c r="G47" s="2">
        <f t="shared" si="7"/>
        <v>15.392713610433807</v>
      </c>
      <c r="H47" s="2">
        <f t="shared" si="7"/>
        <v>30.785427220867614</v>
      </c>
      <c r="K47" s="1"/>
      <c r="L47" s="2"/>
    </row>
    <row r="48" spans="1:12" x14ac:dyDescent="0.25">
      <c r="A48">
        <v>7</v>
      </c>
      <c r="B48">
        <f t="shared" si="9"/>
        <v>-0.27500000000000013</v>
      </c>
      <c r="C48">
        <f t="shared" si="5"/>
        <v>-0.27499999999999991</v>
      </c>
      <c r="D48">
        <f t="shared" si="6"/>
        <v>0.92716382781175322</v>
      </c>
      <c r="F48" s="2">
        <f t="shared" si="7"/>
        <v>57.938467599956461</v>
      </c>
      <c r="G48" s="2">
        <f t="shared" si="7"/>
        <v>19.312822533318819</v>
      </c>
      <c r="H48" s="2">
        <f t="shared" si="7"/>
        <v>38.625645066637638</v>
      </c>
    </row>
    <row r="49" spans="1:7" x14ac:dyDescent="0.25">
      <c r="A49">
        <v>8</v>
      </c>
      <c r="B49">
        <f t="shared" si="9"/>
        <v>-0.27499999999999991</v>
      </c>
      <c r="C49">
        <f t="shared" si="5"/>
        <v>0</v>
      </c>
      <c r="D49">
        <f t="shared" ref="D49" si="10">EXP(-(C49^2))</f>
        <v>1</v>
      </c>
      <c r="E49" s="2"/>
      <c r="F49" s="2"/>
      <c r="G49" s="2"/>
    </row>
    <row r="50" spans="1:7" x14ac:dyDescent="0.25">
      <c r="E50" s="2"/>
      <c r="F50" s="2"/>
      <c r="G50" s="2"/>
    </row>
    <row r="51" spans="1:7" x14ac:dyDescent="0.25">
      <c r="E51" s="2"/>
      <c r="F51" s="2"/>
      <c r="G51" s="2"/>
    </row>
    <row r="52" spans="1:7" x14ac:dyDescent="0.25">
      <c r="B52">
        <f>2.2/B39</f>
        <v>0.27500000000000002</v>
      </c>
      <c r="E52" s="2"/>
      <c r="F52" s="2"/>
      <c r="G52" s="2"/>
    </row>
    <row r="53" spans="1:7" x14ac:dyDescent="0.25">
      <c r="E53" s="2"/>
      <c r="F53" s="2"/>
      <c r="G53" s="2"/>
    </row>
    <row r="54" spans="1:7" x14ac:dyDescent="0.25">
      <c r="E54" s="2"/>
      <c r="F54" s="2"/>
      <c r="G54" s="2"/>
    </row>
    <row r="55" spans="1:7" x14ac:dyDescent="0.25">
      <c r="E55" s="2"/>
      <c r="F55" s="2"/>
      <c r="G55" s="2"/>
    </row>
    <row r="56" spans="1:7" x14ac:dyDescent="0.25">
      <c r="E56" s="2"/>
      <c r="F56" s="2"/>
      <c r="G56" s="2"/>
    </row>
    <row r="57" spans="1:7" x14ac:dyDescent="0.25">
      <c r="E57" s="2"/>
      <c r="F57" s="2"/>
      <c r="G57" s="2"/>
    </row>
    <row r="58" spans="1:7" x14ac:dyDescent="0.25">
      <c r="E58" s="2"/>
      <c r="F58" s="2"/>
      <c r="G58" s="2"/>
    </row>
    <row r="59" spans="1:7" x14ac:dyDescent="0.25">
      <c r="E59" s="2"/>
      <c r="F59" s="2"/>
      <c r="G59" s="2"/>
    </row>
    <row r="60" spans="1:7" x14ac:dyDescent="0.25">
      <c r="E60" s="2"/>
      <c r="F60" s="2"/>
      <c r="G60" s="2"/>
    </row>
    <row r="61" spans="1:7" x14ac:dyDescent="0.25">
      <c r="E61" s="2"/>
      <c r="F61" s="2"/>
      <c r="G61" s="2"/>
    </row>
    <row r="62" spans="1:7" x14ac:dyDescent="0.25">
      <c r="E62" s="2"/>
      <c r="F62" s="2"/>
      <c r="G62" s="2"/>
    </row>
    <row r="63" spans="1:7" x14ac:dyDescent="0.25">
      <c r="E63" s="2"/>
      <c r="F63" s="2"/>
      <c r="G63" s="2"/>
    </row>
    <row r="64" spans="1:7" x14ac:dyDescent="0.25">
      <c r="E64" s="2"/>
      <c r="F64" s="2"/>
      <c r="G64" s="2"/>
    </row>
    <row r="65" spans="1:12" x14ac:dyDescent="0.25">
      <c r="E65" s="2"/>
      <c r="F65" s="2"/>
      <c r="G65" s="2"/>
    </row>
    <row r="66" spans="1:12" x14ac:dyDescent="0.25">
      <c r="A66" t="s">
        <v>5</v>
      </c>
    </row>
    <row r="67" spans="1:12" x14ac:dyDescent="0.25">
      <c r="A67" t="s">
        <v>4</v>
      </c>
      <c r="B67">
        <v>16</v>
      </c>
      <c r="C67">
        <v>-2.2000000000000002</v>
      </c>
      <c r="F67" t="s">
        <v>2</v>
      </c>
      <c r="G67" t="s">
        <v>2</v>
      </c>
      <c r="H67" t="s">
        <v>2</v>
      </c>
      <c r="J67" t="s">
        <v>7</v>
      </c>
    </row>
    <row r="68" spans="1:12" x14ac:dyDescent="0.25">
      <c r="A68" t="s">
        <v>3</v>
      </c>
      <c r="C68" t="s">
        <v>0</v>
      </c>
      <c r="D68" t="s">
        <v>1</v>
      </c>
      <c r="F68">
        <v>62.49</v>
      </c>
      <c r="G68">
        <v>20.83</v>
      </c>
      <c r="H68">
        <v>41.66</v>
      </c>
      <c r="J68">
        <v>0</v>
      </c>
      <c r="K68" s="1">
        <v>0</v>
      </c>
      <c r="L68" s="2">
        <v>0</v>
      </c>
    </row>
    <row r="69" spans="1:12" x14ac:dyDescent="0.25">
      <c r="A69">
        <v>0</v>
      </c>
      <c r="C69">
        <f>C$67+A69*(-C$2/B$67)</f>
        <v>-2.2000000000000002</v>
      </c>
      <c r="D69">
        <f t="shared" ref="D69:D77" si="11">EXP(-(C69^2))</f>
        <v>7.9070540515934346E-3</v>
      </c>
      <c r="F69" s="2">
        <f>F$40*$D69</f>
        <v>0.49411180768407376</v>
      </c>
      <c r="G69" s="2">
        <f t="shared" ref="F69:H84" si="12">G$40*$D69</f>
        <v>0.16470393589469123</v>
      </c>
      <c r="H69" s="2">
        <f t="shared" si="12"/>
        <v>0.32940787178938247</v>
      </c>
      <c r="J69">
        <v>1</v>
      </c>
      <c r="K69" s="1">
        <f>J69*20.83</f>
        <v>20.83</v>
      </c>
      <c r="L69" s="2">
        <v>20.83</v>
      </c>
    </row>
    <row r="70" spans="1:12" x14ac:dyDescent="0.25">
      <c r="A70">
        <v>1</v>
      </c>
      <c r="B70">
        <f>C69-C70</f>
        <v>-0.13750000000000018</v>
      </c>
      <c r="C70">
        <f t="shared" ref="C70:C77" si="13">C$67+A70*(-C$2/B$67)</f>
        <v>-2.0625</v>
      </c>
      <c r="D70">
        <f t="shared" si="11"/>
        <v>1.4208622931196246E-2</v>
      </c>
      <c r="F70" s="2">
        <f t="shared" ref="F70:H85" si="14">F$40*$D70</f>
        <v>0.88789684697045346</v>
      </c>
      <c r="G70" s="2">
        <f t="shared" si="12"/>
        <v>0.29596561565681778</v>
      </c>
      <c r="H70" s="2">
        <f t="shared" si="12"/>
        <v>0.59193123131363556</v>
      </c>
      <c r="J70">
        <v>2</v>
      </c>
      <c r="K70" s="1">
        <f t="shared" ref="K70:K71" si="15">J70*20.83</f>
        <v>41.66</v>
      </c>
      <c r="L70" s="2">
        <v>41.66</v>
      </c>
    </row>
    <row r="71" spans="1:12" x14ac:dyDescent="0.25">
      <c r="A71">
        <v>2</v>
      </c>
      <c r="B71">
        <f t="shared" ref="B71:B77" si="16">C70-C71</f>
        <v>-0.13749999999999973</v>
      </c>
      <c r="C71">
        <f t="shared" si="13"/>
        <v>-1.9250000000000003</v>
      </c>
      <c r="D71">
        <f t="shared" si="11"/>
        <v>2.4584847035512634E-2</v>
      </c>
      <c r="F71" s="2">
        <f t="shared" si="14"/>
        <v>1.5363070912491845</v>
      </c>
      <c r="G71" s="2">
        <f t="shared" si="12"/>
        <v>0.51210236374972817</v>
      </c>
      <c r="H71" s="2">
        <f t="shared" si="12"/>
        <v>1.0242047274994563</v>
      </c>
      <c r="J71">
        <v>3</v>
      </c>
      <c r="K71" s="1">
        <f t="shared" si="15"/>
        <v>62.489999999999995</v>
      </c>
      <c r="L71" s="2">
        <v>62.489999999999995</v>
      </c>
    </row>
    <row r="72" spans="1:12" x14ac:dyDescent="0.25">
      <c r="A72">
        <v>3</v>
      </c>
      <c r="B72">
        <f t="shared" si="16"/>
        <v>-0.13750000000000018</v>
      </c>
      <c r="C72">
        <f t="shared" si="13"/>
        <v>-1.7875000000000001</v>
      </c>
      <c r="D72">
        <f t="shared" si="11"/>
        <v>4.0960124856546529E-2</v>
      </c>
      <c r="F72" s="2">
        <f t="shared" si="14"/>
        <v>2.5595982022855925</v>
      </c>
      <c r="G72" s="2">
        <f t="shared" si="12"/>
        <v>0.85319940076186407</v>
      </c>
      <c r="H72" s="2">
        <f t="shared" si="12"/>
        <v>1.7063988015237281</v>
      </c>
      <c r="K72" s="1"/>
      <c r="L72" s="2"/>
    </row>
    <row r="73" spans="1:12" x14ac:dyDescent="0.25">
      <c r="A73">
        <v>4</v>
      </c>
      <c r="B73">
        <f t="shared" si="16"/>
        <v>-0.13749999999999996</v>
      </c>
      <c r="C73">
        <f t="shared" si="13"/>
        <v>-1.6500000000000001</v>
      </c>
      <c r="D73">
        <f t="shared" si="11"/>
        <v>6.5710273227502822E-2</v>
      </c>
      <c r="F73" s="2">
        <f t="shared" si="14"/>
        <v>4.106234973986651</v>
      </c>
      <c r="G73" s="2">
        <f t="shared" si="12"/>
        <v>1.3687449913288836</v>
      </c>
      <c r="H73" s="2">
        <f t="shared" si="12"/>
        <v>2.7374899826577672</v>
      </c>
      <c r="K73" s="1"/>
      <c r="L73" s="2"/>
    </row>
    <row r="74" spans="1:12" x14ac:dyDescent="0.25">
      <c r="A74">
        <v>5</v>
      </c>
      <c r="B74">
        <f t="shared" si="16"/>
        <v>-0.13749999999999996</v>
      </c>
      <c r="C74">
        <f t="shared" si="13"/>
        <v>-1.5125000000000002</v>
      </c>
      <c r="D74">
        <f t="shared" si="11"/>
        <v>0.10150408347791953</v>
      </c>
      <c r="F74" s="2">
        <f t="shared" si="14"/>
        <v>6.3429901765351921</v>
      </c>
      <c r="G74" s="2">
        <f t="shared" si="12"/>
        <v>2.1143300588450638</v>
      </c>
      <c r="H74" s="2">
        <f t="shared" si="12"/>
        <v>4.2286601176901275</v>
      </c>
      <c r="K74" s="1"/>
      <c r="L74" s="2"/>
    </row>
    <row r="75" spans="1:12" x14ac:dyDescent="0.25">
      <c r="A75">
        <v>6</v>
      </c>
      <c r="B75">
        <f t="shared" si="16"/>
        <v>-0.13750000000000018</v>
      </c>
      <c r="C75">
        <f t="shared" si="13"/>
        <v>-1.375</v>
      </c>
      <c r="D75">
        <f t="shared" si="11"/>
        <v>0.15097741845591461</v>
      </c>
      <c r="F75" s="2">
        <f t="shared" si="14"/>
        <v>9.434578879310104</v>
      </c>
      <c r="G75" s="2">
        <f t="shared" si="12"/>
        <v>3.144859626436701</v>
      </c>
      <c r="H75" s="2">
        <f t="shared" si="12"/>
        <v>6.2897192528734021</v>
      </c>
      <c r="K75" s="1"/>
      <c r="L75" s="2"/>
    </row>
    <row r="76" spans="1:12" x14ac:dyDescent="0.25">
      <c r="A76">
        <v>7</v>
      </c>
      <c r="B76">
        <f t="shared" si="16"/>
        <v>-0.13749999999999996</v>
      </c>
      <c r="C76">
        <f t="shared" si="13"/>
        <v>-1.2375</v>
      </c>
      <c r="D76">
        <f t="shared" si="11"/>
        <v>0.21623137803738826</v>
      </c>
      <c r="F76" s="2">
        <f t="shared" si="14"/>
        <v>13.512298813556393</v>
      </c>
      <c r="G76" s="2">
        <f t="shared" si="12"/>
        <v>4.5040996045187969</v>
      </c>
      <c r="H76" s="2">
        <f t="shared" si="12"/>
        <v>9.0081992090375937</v>
      </c>
    </row>
    <row r="77" spans="1:12" x14ac:dyDescent="0.25">
      <c r="A77">
        <v>8</v>
      </c>
      <c r="B77">
        <f t="shared" si="16"/>
        <v>-0.13749999999999996</v>
      </c>
      <c r="C77">
        <f t="shared" si="13"/>
        <v>-1.1000000000000001</v>
      </c>
      <c r="D77">
        <f t="shared" si="11"/>
        <v>0.29819727942988733</v>
      </c>
      <c r="E77" s="2"/>
      <c r="F77" s="2">
        <f t="shared" si="14"/>
        <v>18.634347991573659</v>
      </c>
      <c r="G77" s="2">
        <f t="shared" si="12"/>
        <v>6.2114493305245526</v>
      </c>
      <c r="H77" s="2">
        <f t="shared" si="12"/>
        <v>12.422898661049105</v>
      </c>
    </row>
    <row r="78" spans="1:12" x14ac:dyDescent="0.25">
      <c r="A78">
        <v>9</v>
      </c>
      <c r="B78">
        <f t="shared" ref="B78:B85" si="17">C77-C78</f>
        <v>-0.13749999999999996</v>
      </c>
      <c r="C78">
        <f t="shared" ref="C78:C85" si="18">C$67+A78*(-C$2/B$67)</f>
        <v>-0.96250000000000013</v>
      </c>
      <c r="D78">
        <f t="shared" ref="D78:D85" si="19">EXP(-(C78^2))</f>
        <v>0.3959741886613819</v>
      </c>
      <c r="E78" s="2"/>
      <c r="F78" s="2">
        <f t="shared" si="14"/>
        <v>24.744427049449754</v>
      </c>
      <c r="G78" s="2">
        <f t="shared" si="12"/>
        <v>8.2481423498165842</v>
      </c>
      <c r="H78" s="2">
        <f t="shared" si="12"/>
        <v>16.496284699633168</v>
      </c>
    </row>
    <row r="79" spans="1:12" x14ac:dyDescent="0.25">
      <c r="A79">
        <v>10</v>
      </c>
      <c r="B79">
        <f t="shared" si="17"/>
        <v>-0.13749999999999996</v>
      </c>
      <c r="C79">
        <f t="shared" si="18"/>
        <v>-0.82500000000000018</v>
      </c>
      <c r="D79">
        <f t="shared" si="19"/>
        <v>0.50630045567338122</v>
      </c>
      <c r="E79" s="2"/>
      <c r="F79" s="2">
        <f t="shared" si="14"/>
        <v>31.638715475029592</v>
      </c>
      <c r="G79" s="2">
        <f t="shared" si="12"/>
        <v>10.546238491676529</v>
      </c>
      <c r="H79" s="2">
        <f t="shared" si="12"/>
        <v>21.092476983353059</v>
      </c>
    </row>
    <row r="80" spans="1:12" x14ac:dyDescent="0.25">
      <c r="A80">
        <v>11</v>
      </c>
      <c r="B80">
        <f t="shared" si="17"/>
        <v>-0.13750000000000018</v>
      </c>
      <c r="C80">
        <f t="shared" si="18"/>
        <v>-0.6875</v>
      </c>
      <c r="D80">
        <f t="shared" si="19"/>
        <v>0.62334430895963433</v>
      </c>
      <c r="E80" s="2"/>
      <c r="F80" s="2">
        <f t="shared" si="14"/>
        <v>38.952785866887552</v>
      </c>
      <c r="G80" s="2">
        <f t="shared" si="12"/>
        <v>12.984261955629181</v>
      </c>
      <c r="H80" s="2">
        <f t="shared" si="12"/>
        <v>25.968523911258362</v>
      </c>
    </row>
    <row r="81" spans="1:8" x14ac:dyDescent="0.25">
      <c r="A81">
        <v>12</v>
      </c>
      <c r="B81">
        <f t="shared" si="17"/>
        <v>-0.13749999999999996</v>
      </c>
      <c r="C81">
        <f t="shared" si="18"/>
        <v>-0.55000000000000004</v>
      </c>
      <c r="D81">
        <f t="shared" si="19"/>
        <v>0.73896848825894423</v>
      </c>
      <c r="E81" s="2"/>
      <c r="F81" s="2">
        <f t="shared" si="14"/>
        <v>46.178140831301427</v>
      </c>
      <c r="G81" s="2">
        <f t="shared" si="12"/>
        <v>15.392713610433807</v>
      </c>
      <c r="H81" s="2">
        <f t="shared" si="12"/>
        <v>30.785427220867614</v>
      </c>
    </row>
    <row r="82" spans="1:8" x14ac:dyDescent="0.25">
      <c r="A82">
        <v>13</v>
      </c>
      <c r="B82">
        <f t="shared" si="17"/>
        <v>-0.13749999999999996</v>
      </c>
      <c r="C82">
        <f t="shared" si="18"/>
        <v>-0.41250000000000009</v>
      </c>
      <c r="D82">
        <f t="shared" si="19"/>
        <v>0.84353300426689681</v>
      </c>
      <c r="E82" s="2"/>
      <c r="F82" s="2">
        <f t="shared" si="14"/>
        <v>52.712377436638384</v>
      </c>
      <c r="G82" s="2">
        <f t="shared" si="12"/>
        <v>17.570792478879458</v>
      </c>
      <c r="H82" s="2">
        <f t="shared" si="12"/>
        <v>35.141584957758916</v>
      </c>
    </row>
    <row r="83" spans="1:8" x14ac:dyDescent="0.25">
      <c r="A83">
        <v>14</v>
      </c>
      <c r="B83">
        <f t="shared" si="17"/>
        <v>-0.13750000000000018</v>
      </c>
      <c r="C83">
        <f t="shared" si="18"/>
        <v>-0.27499999999999991</v>
      </c>
      <c r="D83">
        <f t="shared" si="19"/>
        <v>0.92716382781175322</v>
      </c>
      <c r="E83" s="2"/>
      <c r="F83" s="2">
        <f t="shared" si="14"/>
        <v>57.938467599956461</v>
      </c>
      <c r="G83" s="2">
        <f t="shared" si="12"/>
        <v>19.312822533318819</v>
      </c>
      <c r="H83" s="2">
        <f t="shared" si="12"/>
        <v>38.625645066637638</v>
      </c>
    </row>
    <row r="84" spans="1:8" x14ac:dyDescent="0.25">
      <c r="A84">
        <v>15</v>
      </c>
      <c r="B84">
        <f t="shared" si="17"/>
        <v>-0.13749999999999973</v>
      </c>
      <c r="C84">
        <f t="shared" si="18"/>
        <v>-0.13750000000000018</v>
      </c>
      <c r="D84">
        <f t="shared" si="19"/>
        <v>0.98127135211997429</v>
      </c>
      <c r="E84" s="2"/>
      <c r="F84" s="2">
        <f t="shared" si="14"/>
        <v>61.319646793977192</v>
      </c>
      <c r="G84" s="2">
        <f t="shared" si="12"/>
        <v>20.439882264659062</v>
      </c>
      <c r="H84" s="2">
        <f t="shared" si="12"/>
        <v>40.879764529318123</v>
      </c>
    </row>
    <row r="85" spans="1:8" x14ac:dyDescent="0.25">
      <c r="A85">
        <v>16</v>
      </c>
      <c r="B85">
        <f t="shared" si="17"/>
        <v>-0.13750000000000018</v>
      </c>
      <c r="C85">
        <f t="shared" si="18"/>
        <v>0</v>
      </c>
      <c r="D85">
        <f t="shared" si="19"/>
        <v>1</v>
      </c>
      <c r="E85" s="2"/>
      <c r="F85" s="2">
        <f t="shared" si="14"/>
        <v>62.49</v>
      </c>
      <c r="G85" s="2">
        <f t="shared" si="14"/>
        <v>20.83</v>
      </c>
      <c r="H85" s="2">
        <f t="shared" si="14"/>
        <v>41.66</v>
      </c>
    </row>
    <row r="86" spans="1:8" x14ac:dyDescent="0.25">
      <c r="E86" s="2"/>
      <c r="F86" s="2"/>
      <c r="G86" s="2"/>
    </row>
    <row r="87" spans="1:8" x14ac:dyDescent="0.25">
      <c r="E87" s="2"/>
      <c r="F87" s="2"/>
      <c r="G87" s="2"/>
    </row>
    <row r="88" spans="1:8" x14ac:dyDescent="0.25">
      <c r="E88" s="2"/>
      <c r="F88" s="2"/>
      <c r="G88" s="2"/>
    </row>
    <row r="89" spans="1:8" x14ac:dyDescent="0.25">
      <c r="E89" s="2"/>
      <c r="F89" s="2"/>
      <c r="G89" s="2"/>
    </row>
    <row r="90" spans="1:8" x14ac:dyDescent="0.25">
      <c r="E90" s="2"/>
      <c r="F90" s="2"/>
      <c r="G90" s="2"/>
    </row>
    <row r="91" spans="1:8" x14ac:dyDescent="0.25">
      <c r="E91" s="2"/>
      <c r="F91" s="2"/>
      <c r="G91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</dc:creator>
  <cp:lastModifiedBy>office2</cp:lastModifiedBy>
  <dcterms:created xsi:type="dcterms:W3CDTF">2024-04-09T12:08:44Z</dcterms:created>
  <dcterms:modified xsi:type="dcterms:W3CDTF">2024-08-29T11:45:59Z</dcterms:modified>
</cp:coreProperties>
</file>