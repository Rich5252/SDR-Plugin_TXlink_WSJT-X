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683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R1" i="2" l="1"/>
  <c r="P1" i="2"/>
  <c r="K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2" i="2"/>
  <c r="G1" i="2"/>
  <c r="I1" i="2"/>
  <c r="X40" i="2"/>
  <c r="X39" i="2"/>
  <c r="V40" i="2"/>
  <c r="V39" i="2"/>
  <c r="V43" i="2"/>
  <c r="V42" i="2"/>
  <c r="V47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4" i="1"/>
  <c r="J4" i="1"/>
  <c r="K4" i="1"/>
  <c r="L4" i="1"/>
  <c r="F5" i="1"/>
  <c r="E5" i="1"/>
  <c r="B3" i="1"/>
  <c r="P17" i="1"/>
  <c r="P18" i="1"/>
  <c r="K3" i="1"/>
  <c r="I3" i="1"/>
  <c r="L1" i="1"/>
  <c r="G80" i="1" l="1"/>
  <c r="H81" i="1"/>
  <c r="G84" i="1"/>
  <c r="H85" i="1"/>
  <c r="C79" i="1"/>
  <c r="D79" i="1"/>
  <c r="G79" i="1" s="1"/>
  <c r="B80" i="1"/>
  <c r="C80" i="1"/>
  <c r="D80" i="1"/>
  <c r="H80" i="1" s="1"/>
  <c r="C81" i="1"/>
  <c r="D81" i="1" s="1"/>
  <c r="I81" i="1" s="1"/>
  <c r="C82" i="1"/>
  <c r="B83" i="1" s="1"/>
  <c r="C83" i="1"/>
  <c r="D83" i="1"/>
  <c r="G83" i="1" s="1"/>
  <c r="B84" i="1"/>
  <c r="C84" i="1"/>
  <c r="D84" i="1"/>
  <c r="H84" i="1" s="1"/>
  <c r="C85" i="1"/>
  <c r="D85" i="1" s="1"/>
  <c r="I85" i="1" s="1"/>
  <c r="C86" i="1"/>
  <c r="D86" i="1" s="1"/>
  <c r="C71" i="1"/>
  <c r="B72" i="1" s="1"/>
  <c r="C72" i="1"/>
  <c r="C73" i="1"/>
  <c r="B73" i="1" s="1"/>
  <c r="C74" i="1"/>
  <c r="C75" i="1"/>
  <c r="B76" i="1" s="1"/>
  <c r="C76" i="1"/>
  <c r="C77" i="1"/>
  <c r="C78" i="1"/>
  <c r="D78" i="1" s="1"/>
  <c r="G78" i="1" s="1"/>
  <c r="C70" i="1"/>
  <c r="D70" i="1" s="1"/>
  <c r="I70" i="1" s="1"/>
  <c r="Q72" i="1"/>
  <c r="Q71" i="1"/>
  <c r="D71" i="1"/>
  <c r="G71" i="1" s="1"/>
  <c r="Q70" i="1"/>
  <c r="B78" i="1" l="1"/>
  <c r="B71" i="1"/>
  <c r="I78" i="1"/>
  <c r="H78" i="1"/>
  <c r="H86" i="1"/>
  <c r="G86" i="1"/>
  <c r="I86" i="1"/>
  <c r="I83" i="1"/>
  <c r="I79" i="1"/>
  <c r="B79" i="1"/>
  <c r="I84" i="1"/>
  <c r="H83" i="1"/>
  <c r="I80" i="1"/>
  <c r="H79" i="1"/>
  <c r="H71" i="1"/>
  <c r="G85" i="1"/>
  <c r="G81" i="1"/>
  <c r="I71" i="1"/>
  <c r="B74" i="1"/>
  <c r="D82" i="1"/>
  <c r="G70" i="1"/>
  <c r="B81" i="1"/>
  <c r="B85" i="1"/>
  <c r="B86" i="1"/>
  <c r="B82" i="1"/>
  <c r="B75" i="1"/>
  <c r="B77" i="1"/>
  <c r="D73" i="1"/>
  <c r="D75" i="1"/>
  <c r="D77" i="1"/>
  <c r="H70" i="1"/>
  <c r="D72" i="1"/>
  <c r="D74" i="1"/>
  <c r="D76" i="1"/>
  <c r="C6" i="1"/>
  <c r="C7" i="1"/>
  <c r="C8" i="1"/>
  <c r="C9" i="1"/>
  <c r="C10" i="1"/>
  <c r="C11" i="1"/>
  <c r="C12" i="1"/>
  <c r="C13" i="1"/>
  <c r="C14" i="1"/>
  <c r="D14" i="1" s="1"/>
  <c r="E14" i="1" s="1"/>
  <c r="F14" i="1" s="1"/>
  <c r="C15" i="1"/>
  <c r="D15" i="1" s="1"/>
  <c r="E15" i="1" s="1"/>
  <c r="F15" i="1" s="1"/>
  <c r="C16" i="1"/>
  <c r="D16" i="1" s="1"/>
  <c r="C17" i="1"/>
  <c r="C18" i="1"/>
  <c r="D18" i="1" s="1"/>
  <c r="C19" i="1"/>
  <c r="D19" i="1" s="1"/>
  <c r="E19" i="1" s="1"/>
  <c r="F19" i="1" s="1"/>
  <c r="C20" i="1"/>
  <c r="D20" i="1" s="1"/>
  <c r="C21" i="1"/>
  <c r="D21" i="1" s="1"/>
  <c r="C22" i="1"/>
  <c r="D22" i="1" s="1"/>
  <c r="E22" i="1" s="1"/>
  <c r="F22" i="1" s="1"/>
  <c r="C23" i="1"/>
  <c r="D23" i="1" s="1"/>
  <c r="E23" i="1" s="1"/>
  <c r="F23" i="1" s="1"/>
  <c r="C24" i="1"/>
  <c r="D24" i="1" s="1"/>
  <c r="C25" i="1"/>
  <c r="D25" i="1" s="1"/>
  <c r="C26" i="1"/>
  <c r="D26" i="1" s="1"/>
  <c r="E26" i="1" s="1"/>
  <c r="F26" i="1" s="1"/>
  <c r="C27" i="1"/>
  <c r="D27" i="1" s="1"/>
  <c r="E27" i="1" s="1"/>
  <c r="F27" i="1" s="1"/>
  <c r="C28" i="1"/>
  <c r="D28" i="1" s="1"/>
  <c r="C29" i="1"/>
  <c r="D29" i="1" s="1"/>
  <c r="C30" i="1"/>
  <c r="D30" i="1" s="1"/>
  <c r="E30" i="1" s="1"/>
  <c r="F30" i="1" s="1"/>
  <c r="C31" i="1"/>
  <c r="D31" i="1" s="1"/>
  <c r="E31" i="1" s="1"/>
  <c r="F31" i="1" s="1"/>
  <c r="C32" i="1"/>
  <c r="D32" i="1" s="1"/>
  <c r="C33" i="1"/>
  <c r="D33" i="1" s="1"/>
  <c r="C34" i="1"/>
  <c r="D34" i="1" s="1"/>
  <c r="E34" i="1" s="1"/>
  <c r="F34" i="1" s="1"/>
  <c r="C35" i="1"/>
  <c r="D35" i="1" s="1"/>
  <c r="E35" i="1" s="1"/>
  <c r="F35" i="1" s="1"/>
  <c r="C36" i="1"/>
  <c r="D36" i="1" s="1"/>
  <c r="C5" i="1"/>
  <c r="B6" i="1" s="1"/>
  <c r="B53" i="1"/>
  <c r="C50" i="1"/>
  <c r="D50" i="1" s="1"/>
  <c r="C43" i="1"/>
  <c r="D43" i="1" s="1"/>
  <c r="H43" i="1" s="1"/>
  <c r="C44" i="1"/>
  <c r="D44" i="1" s="1"/>
  <c r="C45" i="1"/>
  <c r="C46" i="1"/>
  <c r="C47" i="1"/>
  <c r="C48" i="1"/>
  <c r="C49" i="1"/>
  <c r="C42" i="1"/>
  <c r="D42" i="1" s="1"/>
  <c r="I42" i="1" s="1"/>
  <c r="Q43" i="1"/>
  <c r="Q44" i="1"/>
  <c r="Q42" i="1"/>
  <c r="D17" i="1"/>
  <c r="E28" i="1" l="1"/>
  <c r="F28" i="1" s="1"/>
  <c r="E36" i="1"/>
  <c r="F36" i="1" s="1"/>
  <c r="E24" i="1"/>
  <c r="F24" i="1" s="1"/>
  <c r="E18" i="1"/>
  <c r="F18" i="1" s="1"/>
  <c r="E17" i="1"/>
  <c r="F17" i="1" s="1"/>
  <c r="E33" i="1"/>
  <c r="F33" i="1" s="1"/>
  <c r="E29" i="1"/>
  <c r="F29" i="1" s="1"/>
  <c r="E25" i="1"/>
  <c r="F25" i="1" s="1"/>
  <c r="E21" i="1"/>
  <c r="F21" i="1" s="1"/>
  <c r="E32" i="1"/>
  <c r="F32" i="1" s="1"/>
  <c r="E20" i="1"/>
  <c r="F20" i="1" s="1"/>
  <c r="E16" i="1"/>
  <c r="F16" i="1" s="1"/>
  <c r="H30" i="1"/>
  <c r="L30" i="1" s="1"/>
  <c r="J30" i="1"/>
  <c r="K30" i="1" s="1"/>
  <c r="H72" i="1"/>
  <c r="I72" i="1"/>
  <c r="G72" i="1"/>
  <c r="H34" i="1"/>
  <c r="L34" i="1" s="1"/>
  <c r="J34" i="1"/>
  <c r="K34" i="1" s="1"/>
  <c r="H26" i="1"/>
  <c r="L26" i="1" s="1"/>
  <c r="J26" i="1"/>
  <c r="K26" i="1" s="1"/>
  <c r="H22" i="1"/>
  <c r="I22" i="1" s="1"/>
  <c r="J22" i="1"/>
  <c r="K22" i="1" s="1"/>
  <c r="H14" i="1"/>
  <c r="L14" i="1" s="1"/>
  <c r="J14" i="1"/>
  <c r="K14" i="1" s="1"/>
  <c r="I73" i="1"/>
  <c r="H73" i="1"/>
  <c r="G73" i="1"/>
  <c r="I82" i="1"/>
  <c r="G82" i="1"/>
  <c r="H82" i="1"/>
  <c r="H76" i="1"/>
  <c r="G76" i="1"/>
  <c r="I76" i="1"/>
  <c r="I77" i="1"/>
  <c r="G77" i="1"/>
  <c r="H77" i="1"/>
  <c r="G35" i="1"/>
  <c r="J35" i="1"/>
  <c r="K35" i="1" s="1"/>
  <c r="G31" i="1"/>
  <c r="J31" i="1"/>
  <c r="K31" i="1" s="1"/>
  <c r="G27" i="1"/>
  <c r="J27" i="1"/>
  <c r="K27" i="1" s="1"/>
  <c r="G23" i="1"/>
  <c r="J23" i="1"/>
  <c r="K23" i="1" s="1"/>
  <c r="G19" i="1"/>
  <c r="J19" i="1"/>
  <c r="K19" i="1" s="1"/>
  <c r="G15" i="1"/>
  <c r="J15" i="1"/>
  <c r="K15" i="1" s="1"/>
  <c r="H74" i="1"/>
  <c r="G74" i="1"/>
  <c r="I74" i="1"/>
  <c r="G75" i="1"/>
  <c r="I75" i="1"/>
  <c r="H75" i="1"/>
  <c r="I30" i="1"/>
  <c r="B11" i="1"/>
  <c r="B7" i="1"/>
  <c r="B34" i="1"/>
  <c r="B30" i="1"/>
  <c r="B26" i="1"/>
  <c r="B22" i="1"/>
  <c r="B18" i="1"/>
  <c r="B14" i="1"/>
  <c r="B10" i="1"/>
  <c r="B13" i="1"/>
  <c r="B9" i="1"/>
  <c r="B36" i="1"/>
  <c r="B32" i="1"/>
  <c r="B28" i="1"/>
  <c r="B24" i="1"/>
  <c r="B20" i="1"/>
  <c r="B16" i="1"/>
  <c r="B12" i="1"/>
  <c r="B8" i="1"/>
  <c r="B35" i="1"/>
  <c r="B31" i="1"/>
  <c r="B27" i="1"/>
  <c r="B23" i="1"/>
  <c r="B19" i="1"/>
  <c r="B15" i="1"/>
  <c r="L22" i="1"/>
  <c r="B33" i="1"/>
  <c r="B29" i="1"/>
  <c r="B25" i="1"/>
  <c r="B21" i="1"/>
  <c r="B17" i="1"/>
  <c r="B50" i="1"/>
  <c r="B43" i="1"/>
  <c r="D45" i="1" s="1"/>
  <c r="G45" i="1" s="1"/>
  <c r="B44" i="1"/>
  <c r="D46" i="1" s="1"/>
  <c r="I46" i="1" s="1"/>
  <c r="H33" i="1"/>
  <c r="H25" i="1"/>
  <c r="G34" i="1"/>
  <c r="G33" i="1"/>
  <c r="G26" i="1"/>
  <c r="G25" i="1"/>
  <c r="H17" i="1"/>
  <c r="G17" i="1"/>
  <c r="H18" i="1"/>
  <c r="G18" i="1"/>
  <c r="H29" i="1"/>
  <c r="H21" i="1"/>
  <c r="G30" i="1"/>
  <c r="G29" i="1"/>
  <c r="G22" i="1"/>
  <c r="G21" i="1"/>
  <c r="G14" i="1"/>
  <c r="G32" i="1"/>
  <c r="H32" i="1"/>
  <c r="G24" i="1"/>
  <c r="H24" i="1"/>
  <c r="G16" i="1"/>
  <c r="H16" i="1"/>
  <c r="G36" i="1"/>
  <c r="H36" i="1"/>
  <c r="G28" i="1"/>
  <c r="H28" i="1"/>
  <c r="G20" i="1"/>
  <c r="H20" i="1"/>
  <c r="H35" i="1"/>
  <c r="H31" i="1"/>
  <c r="H27" i="1"/>
  <c r="H23" i="1"/>
  <c r="H19" i="1"/>
  <c r="H15" i="1"/>
  <c r="I44" i="1"/>
  <c r="G44" i="1"/>
  <c r="H44" i="1"/>
  <c r="G43" i="1"/>
  <c r="I43" i="1"/>
  <c r="G42" i="1"/>
  <c r="H42" i="1"/>
  <c r="AC9" i="1"/>
  <c r="D5" i="1"/>
  <c r="D6" i="1"/>
  <c r="D7" i="1"/>
  <c r="D8" i="1"/>
  <c r="D9" i="1"/>
  <c r="E9" i="1" s="1"/>
  <c r="F9" i="1" s="1"/>
  <c r="D10" i="1"/>
  <c r="D11" i="1"/>
  <c r="D12" i="1"/>
  <c r="E12" i="1" s="1"/>
  <c r="F12" i="1" s="1"/>
  <c r="D13" i="1"/>
  <c r="E13" i="1" s="1"/>
  <c r="F13" i="1" s="1"/>
  <c r="E11" i="1" l="1"/>
  <c r="F11" i="1" s="1"/>
  <c r="E7" i="1"/>
  <c r="F7" i="1" s="1"/>
  <c r="I34" i="1"/>
  <c r="J20" i="1"/>
  <c r="K20" i="1" s="1"/>
  <c r="J21" i="1"/>
  <c r="K21" i="1" s="1"/>
  <c r="J29" i="1"/>
  <c r="K29" i="1" s="1"/>
  <c r="J18" i="1"/>
  <c r="K18" i="1" s="1"/>
  <c r="J36" i="1"/>
  <c r="K36" i="1" s="1"/>
  <c r="E6" i="1"/>
  <c r="F6" i="1" s="1"/>
  <c r="E8" i="1"/>
  <c r="F8" i="1" s="1"/>
  <c r="E10" i="1"/>
  <c r="F10" i="1" s="1"/>
  <c r="J16" i="1"/>
  <c r="K16" i="1" s="1"/>
  <c r="J32" i="1"/>
  <c r="K32" i="1" s="1"/>
  <c r="J25" i="1"/>
  <c r="K25" i="1" s="1"/>
  <c r="J33" i="1"/>
  <c r="K33" i="1" s="1"/>
  <c r="J17" i="1"/>
  <c r="K17" i="1" s="1"/>
  <c r="J24" i="1"/>
  <c r="K24" i="1" s="1"/>
  <c r="J28" i="1"/>
  <c r="K28" i="1" s="1"/>
  <c r="I14" i="1"/>
  <c r="I26" i="1"/>
  <c r="G12" i="1"/>
  <c r="J12" i="1"/>
  <c r="K12" i="1" s="1"/>
  <c r="G13" i="1"/>
  <c r="J13" i="1"/>
  <c r="K13" i="1" s="1"/>
  <c r="G9" i="1"/>
  <c r="J9" i="1"/>
  <c r="K9" i="1" s="1"/>
  <c r="G5" i="1"/>
  <c r="J5" i="1"/>
  <c r="K5" i="1" s="1"/>
  <c r="I19" i="1"/>
  <c r="I36" i="1"/>
  <c r="I24" i="1"/>
  <c r="I18" i="1"/>
  <c r="I33" i="1"/>
  <c r="I25" i="1"/>
  <c r="I23" i="1"/>
  <c r="I27" i="1"/>
  <c r="I21" i="1"/>
  <c r="I35" i="1"/>
  <c r="I20" i="1"/>
  <c r="I15" i="1"/>
  <c r="I31" i="1"/>
  <c r="I28" i="1"/>
  <c r="I16" i="1"/>
  <c r="I32" i="1"/>
  <c r="I29" i="1"/>
  <c r="I17" i="1"/>
  <c r="L36" i="1"/>
  <c r="L27" i="1"/>
  <c r="M26" i="1" s="1"/>
  <c r="L21" i="1"/>
  <c r="L20" i="1"/>
  <c r="M19" i="1" s="1"/>
  <c r="L33" i="1"/>
  <c r="L15" i="1"/>
  <c r="M14" i="1" s="1"/>
  <c r="L31" i="1"/>
  <c r="M30" i="1" s="1"/>
  <c r="L16" i="1"/>
  <c r="M15" i="1" s="1"/>
  <c r="L32" i="1"/>
  <c r="L29" i="1"/>
  <c r="M28" i="1" s="1"/>
  <c r="L17" i="1"/>
  <c r="M36" i="1"/>
  <c r="L23" i="1"/>
  <c r="M22" i="1" s="1"/>
  <c r="L24" i="1"/>
  <c r="M23" i="1" s="1"/>
  <c r="L18" i="1"/>
  <c r="M17" i="1" s="1"/>
  <c r="L28" i="1"/>
  <c r="M27" i="1" s="1"/>
  <c r="L19" i="1"/>
  <c r="L35" i="1"/>
  <c r="M34" i="1" s="1"/>
  <c r="L25" i="1"/>
  <c r="H46" i="1"/>
  <c r="G46" i="1"/>
  <c r="I45" i="1"/>
  <c r="H45" i="1"/>
  <c r="B45" i="1"/>
  <c r="B46" i="1"/>
  <c r="G8" i="1"/>
  <c r="H8" i="1"/>
  <c r="G10" i="1"/>
  <c r="G6" i="1"/>
  <c r="H6" i="1"/>
  <c r="G11" i="1"/>
  <c r="H11" i="1"/>
  <c r="G7" i="1"/>
  <c r="H7" i="1"/>
  <c r="H9" i="1"/>
  <c r="H13" i="1"/>
  <c r="H12" i="1"/>
  <c r="H10" i="1"/>
  <c r="H5" i="1"/>
  <c r="M24" i="1" l="1"/>
  <c r="M16" i="1"/>
  <c r="M20" i="1"/>
  <c r="M21" i="1"/>
  <c r="M29" i="1"/>
  <c r="M18" i="1"/>
  <c r="M31" i="1"/>
  <c r="M32" i="1"/>
  <c r="M35" i="1"/>
  <c r="M25" i="1"/>
  <c r="M33" i="1"/>
  <c r="J10" i="1"/>
  <c r="K10" i="1" s="1"/>
  <c r="J6" i="1"/>
  <c r="K6" i="1" s="1"/>
  <c r="J7" i="1"/>
  <c r="K7" i="1" s="1"/>
  <c r="J8" i="1"/>
  <c r="K8" i="1" s="1"/>
  <c r="J11" i="1"/>
  <c r="K11" i="1" s="1"/>
  <c r="I9" i="1"/>
  <c r="I8" i="1"/>
  <c r="I6" i="1"/>
  <c r="I5" i="1"/>
  <c r="I10" i="1"/>
  <c r="I7" i="1"/>
  <c r="I12" i="1"/>
  <c r="I13" i="1"/>
  <c r="I11" i="1"/>
  <c r="L12" i="1"/>
  <c r="L9" i="1"/>
  <c r="L8" i="1"/>
  <c r="M7" i="1" s="1"/>
  <c r="L13" i="1"/>
  <c r="L11" i="1"/>
  <c r="L5" i="1"/>
  <c r="M4" i="1" s="1"/>
  <c r="L10" i="1"/>
  <c r="M9" i="1" s="1"/>
  <c r="L7" i="1"/>
  <c r="L6" i="1"/>
  <c r="D47" i="1"/>
  <c r="B47" i="1"/>
  <c r="D49" i="1" s="1"/>
  <c r="D48" i="1"/>
  <c r="B48" i="1"/>
  <c r="M8" i="1" l="1"/>
  <c r="M5" i="1"/>
  <c r="M10" i="1"/>
  <c r="M11" i="1"/>
  <c r="M6" i="1"/>
  <c r="M12" i="1"/>
  <c r="M13" i="1"/>
  <c r="G49" i="1"/>
  <c r="I49" i="1"/>
  <c r="H49" i="1"/>
  <c r="B49" i="1"/>
  <c r="H47" i="1"/>
  <c r="G47" i="1"/>
  <c r="I47" i="1"/>
  <c r="I48" i="1"/>
  <c r="G48" i="1"/>
  <c r="H48" i="1"/>
</calcChain>
</file>

<file path=xl/sharedStrings.xml><?xml version="1.0" encoding="utf-8"?>
<sst xmlns="http://schemas.openxmlformats.org/spreadsheetml/2006/main" count="33" uniqueCount="16">
  <si>
    <t>x</t>
  </si>
  <si>
    <t>y</t>
  </si>
  <si>
    <t>delta f</t>
  </si>
  <si>
    <t>t (ms)</t>
  </si>
  <si>
    <t>x start</t>
  </si>
  <si>
    <t>FT4</t>
  </si>
  <si>
    <t>FT8</t>
  </si>
  <si>
    <t>symbol</t>
  </si>
  <si>
    <t>deltaFTW</t>
  </si>
  <si>
    <t>per FTW</t>
  </si>
  <si>
    <t>delta fx128</t>
  </si>
  <si>
    <t>yx2^16</t>
  </si>
  <si>
    <t>Hz</t>
  </si>
  <si>
    <t>x7</t>
  </si>
  <si>
    <t>FTW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</si>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</sst>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color rgb="FF4E5B6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Sheet1!$C$5:$C$36</c:f>
              <c:numCache>
                <c:formatCode>General</c:formatCode>
                <c:ptCount val="32"/>
                <c:pt idx="0">
                  <c:v>-2.2000000000000002</c:v>
                </c:pt>
                <c:pt idx="1">
                  <c:v>-2.1290322580645165</c:v>
                </c:pt>
                <c:pt idx="2">
                  <c:v>-2.0580645161290323</c:v>
                </c:pt>
                <c:pt idx="3">
                  <c:v>-1.9870967741935486</c:v>
                </c:pt>
                <c:pt idx="4">
                  <c:v>-1.9161290322580646</c:v>
                </c:pt>
                <c:pt idx="5">
                  <c:v>-1.8451612903225807</c:v>
                </c:pt>
                <c:pt idx="6">
                  <c:v>-1.774193548387097</c:v>
                </c:pt>
                <c:pt idx="7">
                  <c:v>-1.703225806451613</c:v>
                </c:pt>
                <c:pt idx="8">
                  <c:v>-1.6322580645161291</c:v>
                </c:pt>
                <c:pt idx="9">
                  <c:v>-1.5612903225806454</c:v>
                </c:pt>
                <c:pt idx="10">
                  <c:v>-1.4903225806451614</c:v>
                </c:pt>
                <c:pt idx="11">
                  <c:v>-1.4193548387096775</c:v>
                </c:pt>
                <c:pt idx="12">
                  <c:v>-1.3483870967741938</c:v>
                </c:pt>
                <c:pt idx="13">
                  <c:v>-1.2774193548387098</c:v>
                </c:pt>
                <c:pt idx="14">
                  <c:v>-1.2064516129032259</c:v>
                </c:pt>
                <c:pt idx="15">
                  <c:v>-1.1354838709677422</c:v>
                </c:pt>
                <c:pt idx="16">
                  <c:v>-1.0645161290322582</c:v>
                </c:pt>
                <c:pt idx="17">
                  <c:v>-0.99354838709677429</c:v>
                </c:pt>
                <c:pt idx="18">
                  <c:v>-0.92258064516129057</c:v>
                </c:pt>
                <c:pt idx="19">
                  <c:v>-0.85161290322580663</c:v>
                </c:pt>
                <c:pt idx="20">
                  <c:v>-0.78064516129032269</c:v>
                </c:pt>
                <c:pt idx="21">
                  <c:v>-0.70967741935483897</c:v>
                </c:pt>
                <c:pt idx="22">
                  <c:v>-0.63870967741935503</c:v>
                </c:pt>
                <c:pt idx="23">
                  <c:v>-0.56774193548387109</c:v>
                </c:pt>
                <c:pt idx="24">
                  <c:v>-0.49677419354838737</c:v>
                </c:pt>
                <c:pt idx="25">
                  <c:v>-0.42580645161290342</c:v>
                </c:pt>
                <c:pt idx="26">
                  <c:v>-0.35483870967741948</c:v>
                </c:pt>
                <c:pt idx="27">
                  <c:v>-0.28387096774193554</c:v>
                </c:pt>
                <c:pt idx="28">
                  <c:v>-0.21290322580645182</c:v>
                </c:pt>
                <c:pt idx="29">
                  <c:v>-0.14193548387096788</c:v>
                </c:pt>
                <c:pt idx="30">
                  <c:v>-7.0967741935484163E-2</c:v>
                </c:pt>
                <c:pt idx="31">
                  <c:v>0</c:v>
                </c:pt>
              </c:numCache>
            </c:numRef>
          </c:xVal>
          <c:yVal>
            <c:numRef>
              <c:f>Sheet1!$D$5:$D$36</c:f>
              <c:numCache>
                <c:formatCode>General</c:formatCode>
                <c:ptCount val="32"/>
                <c:pt idx="0">
                  <c:v>7.9070540515934346E-3</c:v>
                </c:pt>
                <c:pt idx="1">
                  <c:v>1.0750765088913398E-2</c:v>
                </c:pt>
                <c:pt idx="2">
                  <c:v>1.4470697265170415E-2</c:v>
                </c:pt>
                <c:pt idx="3">
                  <c:v>1.9282572119494582E-2</c:v>
                </c:pt>
                <c:pt idx="4">
                  <c:v>2.5437000094878339E-2</c:v>
                </c:pt>
                <c:pt idx="5">
                  <c:v>3.3219434849294793E-2</c:v>
                </c:pt>
                <c:pt idx="6">
                  <c:v>4.2948105234404323E-2</c:v>
                </c:pt>
                <c:pt idx="7">
                  <c:v>5.4969425530596513E-2</c:v>
                </c:pt>
                <c:pt idx="8">
                  <c:v>6.9650431105468535E-2</c:v>
                </c:pt>
                <c:pt idx="9">
                  <c:v>8.7367888579899508E-2</c:v>
                </c:pt>
                <c:pt idx="10">
                  <c:v>0.10849389288273495</c:v>
                </c:pt>
                <c:pt idx="11">
                  <c:v>0.13337798912618043</c:v>
                </c:pt>
                <c:pt idx="12">
                  <c:v>0.16232613917494793</c:v>
                </c:pt>
                <c:pt idx="13">
                  <c:v>0.1955771774061823</c:v>
                </c:pt>
                <c:pt idx="14">
                  <c:v>0.23327774556615768</c:v>
                </c:pt>
                <c:pt idx="15">
                  <c:v>0.27545703338478916</c:v>
                </c:pt>
                <c:pt idx="16">
                  <c:v>0.32200294453212858</c:v>
                </c:pt>
                <c:pt idx="17">
                  <c:v>0.372641518639098</c:v>
                </c:pt>
                <c:pt idx="18">
                  <c:v>0.42692153269257638</c:v>
                </c:pt>
                <c:pt idx="19">
                  <c:v>0.48420614818668689</c:v>
                </c:pt>
                <c:pt idx="20">
                  <c:v>0.54367324354173496</c:v>
                </c:pt>
                <c:pt idx="21">
                  <c:v>0.60432566883575167</c:v>
                </c:pt>
                <c:pt idx="22">
                  <c:v>0.66501209399757455</c:v>
                </c:pt>
                <c:pt idx="23">
                  <c:v>0.72445842352501155</c:v>
                </c:pt>
                <c:pt idx="24">
                  <c:v>0.78130896984722897</c:v>
                </c:pt>
                <c:pt idx="25">
                  <c:v>0.83417577767302686</c:v>
                </c:pt>
                <c:pt idx="26">
                  <c:v>0.88169374612727092</c:v>
                </c:pt>
                <c:pt idx="27">
                  <c:v>0.92257857888980599</c:v>
                </c:pt>
                <c:pt idx="28">
                  <c:v>0.95568417292786667</c:v>
                </c:pt>
                <c:pt idx="29">
                  <c:v>0.98005588681459521</c:v>
                </c:pt>
                <c:pt idx="30">
                  <c:v>0.99497624110464755</c:v>
                </c:pt>
                <c:pt idx="31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01440"/>
        <c:axId val="222702976"/>
      </c:scatterChart>
      <c:valAx>
        <c:axId val="22270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702976"/>
        <c:crosses val="autoZero"/>
        <c:crossBetween val="midCat"/>
      </c:valAx>
      <c:valAx>
        <c:axId val="22270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7014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Sheet1!$C$42:$C$50</c:f>
              <c:numCache>
                <c:formatCode>General</c:formatCode>
                <c:ptCount val="9"/>
                <c:pt idx="0">
                  <c:v>-2.2000000000000002</c:v>
                </c:pt>
                <c:pt idx="1">
                  <c:v>-1.9250000000000003</c:v>
                </c:pt>
                <c:pt idx="2">
                  <c:v>-1.6500000000000001</c:v>
                </c:pt>
                <c:pt idx="3">
                  <c:v>-1.375</c:v>
                </c:pt>
                <c:pt idx="4">
                  <c:v>-1.1000000000000001</c:v>
                </c:pt>
                <c:pt idx="5">
                  <c:v>-0.82500000000000018</c:v>
                </c:pt>
                <c:pt idx="6">
                  <c:v>-0.55000000000000004</c:v>
                </c:pt>
                <c:pt idx="7">
                  <c:v>-0.27499999999999991</c:v>
                </c:pt>
                <c:pt idx="8">
                  <c:v>0</c:v>
                </c:pt>
              </c:numCache>
            </c:numRef>
          </c:xVal>
          <c:yVal>
            <c:numRef>
              <c:f>Sheet1!$D$42:$D$50</c:f>
              <c:numCache>
                <c:formatCode>General</c:formatCode>
                <c:ptCount val="9"/>
                <c:pt idx="0">
                  <c:v>7.9070540515934346E-3</c:v>
                </c:pt>
                <c:pt idx="1">
                  <c:v>2.4584847035512634E-2</c:v>
                </c:pt>
                <c:pt idx="2">
                  <c:v>6.5710273227502822E-2</c:v>
                </c:pt>
                <c:pt idx="3">
                  <c:v>0.15097741845591461</c:v>
                </c:pt>
                <c:pt idx="4">
                  <c:v>0.29819727942988733</c:v>
                </c:pt>
                <c:pt idx="5">
                  <c:v>0.50630045567338122</c:v>
                </c:pt>
                <c:pt idx="6">
                  <c:v>0.73896848825894423</c:v>
                </c:pt>
                <c:pt idx="7">
                  <c:v>0.92716382781175322</c:v>
                </c:pt>
                <c:pt idx="8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31648"/>
        <c:axId val="222737536"/>
      </c:scatterChart>
      <c:valAx>
        <c:axId val="22273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737536"/>
        <c:crosses val="autoZero"/>
        <c:crossBetween val="midCat"/>
      </c:valAx>
      <c:valAx>
        <c:axId val="22273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731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Sheet1!$D$69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Sheet1!$C$70:$C$86</c:f>
              <c:numCache>
                <c:formatCode>General</c:formatCode>
                <c:ptCount val="17"/>
                <c:pt idx="0">
                  <c:v>-2.2000000000000002</c:v>
                </c:pt>
                <c:pt idx="1">
                  <c:v>-2.0625</c:v>
                </c:pt>
                <c:pt idx="2">
                  <c:v>-1.9250000000000003</c:v>
                </c:pt>
                <c:pt idx="3">
                  <c:v>-1.7875000000000001</c:v>
                </c:pt>
                <c:pt idx="4">
                  <c:v>-1.6500000000000001</c:v>
                </c:pt>
                <c:pt idx="5">
                  <c:v>-1.5125000000000002</c:v>
                </c:pt>
                <c:pt idx="6">
                  <c:v>-1.375</c:v>
                </c:pt>
                <c:pt idx="7">
                  <c:v>-1.2375</c:v>
                </c:pt>
                <c:pt idx="8">
                  <c:v>-1.1000000000000001</c:v>
                </c:pt>
                <c:pt idx="9">
                  <c:v>-0.96250000000000013</c:v>
                </c:pt>
                <c:pt idx="10">
                  <c:v>-0.82500000000000018</c:v>
                </c:pt>
                <c:pt idx="11">
                  <c:v>-0.6875</c:v>
                </c:pt>
                <c:pt idx="12">
                  <c:v>-0.55000000000000004</c:v>
                </c:pt>
                <c:pt idx="13">
                  <c:v>-0.41250000000000009</c:v>
                </c:pt>
                <c:pt idx="14">
                  <c:v>-0.27499999999999991</c:v>
                </c:pt>
                <c:pt idx="15">
                  <c:v>-0.13750000000000018</c:v>
                </c:pt>
                <c:pt idx="16">
                  <c:v>0</c:v>
                </c:pt>
              </c:numCache>
            </c:numRef>
          </c:xVal>
          <c:yVal>
            <c:numRef>
              <c:f>Sheet1!$D$70:$D$86</c:f>
              <c:numCache>
                <c:formatCode>General</c:formatCode>
                <c:ptCount val="17"/>
                <c:pt idx="0">
                  <c:v>7.9070540515934346E-3</c:v>
                </c:pt>
                <c:pt idx="1">
                  <c:v>1.4208622931196246E-2</c:v>
                </c:pt>
                <c:pt idx="2">
                  <c:v>2.4584847035512634E-2</c:v>
                </c:pt>
                <c:pt idx="3">
                  <c:v>4.0960124856546529E-2</c:v>
                </c:pt>
                <c:pt idx="4">
                  <c:v>6.5710273227502822E-2</c:v>
                </c:pt>
                <c:pt idx="5">
                  <c:v>0.10150408347791953</c:v>
                </c:pt>
                <c:pt idx="6">
                  <c:v>0.15097741845591461</c:v>
                </c:pt>
                <c:pt idx="7">
                  <c:v>0.21623137803738826</c:v>
                </c:pt>
                <c:pt idx="8">
                  <c:v>0.29819727942988733</c:v>
                </c:pt>
                <c:pt idx="9">
                  <c:v>0.3959741886613819</c:v>
                </c:pt>
                <c:pt idx="10">
                  <c:v>0.50630045567338122</c:v>
                </c:pt>
                <c:pt idx="11">
                  <c:v>0.62334430895963433</c:v>
                </c:pt>
                <c:pt idx="12">
                  <c:v>0.73896848825894423</c:v>
                </c:pt>
                <c:pt idx="13">
                  <c:v>0.84353300426689681</c:v>
                </c:pt>
                <c:pt idx="14">
                  <c:v>0.92716382781175322</c:v>
                </c:pt>
                <c:pt idx="15">
                  <c:v>0.98127135211997429</c:v>
                </c:pt>
                <c:pt idx="1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71712"/>
        <c:axId val="223173248"/>
      </c:scatterChart>
      <c:valAx>
        <c:axId val="2231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3173248"/>
        <c:crosses val="autoZero"/>
        <c:crossBetween val="midCat"/>
      </c:valAx>
      <c:valAx>
        <c:axId val="22317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1717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yVal>
            <c:numRef>
              <c:f>Sheet2!$D$2:$D$65</c:f>
              <c:numCache>
                <c:formatCode>General</c:formatCode>
                <c:ptCount val="64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27</c:v>
                </c:pt>
                <c:pt idx="10">
                  <c:v>31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51</c:v>
                </c:pt>
                <c:pt idx="15">
                  <c:v>57</c:v>
                </c:pt>
                <c:pt idx="16">
                  <c:v>65</c:v>
                </c:pt>
                <c:pt idx="17">
                  <c:v>73</c:v>
                </c:pt>
                <c:pt idx="18">
                  <c:v>82</c:v>
                </c:pt>
                <c:pt idx="19">
                  <c:v>91</c:v>
                </c:pt>
                <c:pt idx="20">
                  <c:v>102</c:v>
                </c:pt>
                <c:pt idx="21">
                  <c:v>113</c:v>
                </c:pt>
                <c:pt idx="22">
                  <c:v>126</c:v>
                </c:pt>
                <c:pt idx="23">
                  <c:v>139</c:v>
                </c:pt>
                <c:pt idx="24">
                  <c:v>154</c:v>
                </c:pt>
                <c:pt idx="25">
                  <c:v>169</c:v>
                </c:pt>
                <c:pt idx="26">
                  <c:v>187</c:v>
                </c:pt>
                <c:pt idx="27">
                  <c:v>204</c:v>
                </c:pt>
                <c:pt idx="28">
                  <c:v>224</c:v>
                </c:pt>
                <c:pt idx="29">
                  <c:v>244</c:v>
                </c:pt>
                <c:pt idx="30">
                  <c:v>266</c:v>
                </c:pt>
                <c:pt idx="31">
                  <c:v>288</c:v>
                </c:pt>
                <c:pt idx="32">
                  <c:v>312</c:v>
                </c:pt>
                <c:pt idx="33">
                  <c:v>336</c:v>
                </c:pt>
                <c:pt idx="34">
                  <c:v>363</c:v>
                </c:pt>
                <c:pt idx="35">
                  <c:v>389</c:v>
                </c:pt>
                <c:pt idx="36">
                  <c:v>417</c:v>
                </c:pt>
                <c:pt idx="37">
                  <c:v>446</c:v>
                </c:pt>
                <c:pt idx="38">
                  <c:v>476</c:v>
                </c:pt>
                <c:pt idx="39">
                  <c:v>505</c:v>
                </c:pt>
                <c:pt idx="40">
                  <c:v>537</c:v>
                </c:pt>
                <c:pt idx="41">
                  <c:v>568</c:v>
                </c:pt>
                <c:pt idx="42">
                  <c:v>599</c:v>
                </c:pt>
                <c:pt idx="43">
                  <c:v>631</c:v>
                </c:pt>
                <c:pt idx="44">
                  <c:v>663</c:v>
                </c:pt>
                <c:pt idx="45">
                  <c:v>694</c:v>
                </c:pt>
                <c:pt idx="46">
                  <c:v>725</c:v>
                </c:pt>
                <c:pt idx="47">
                  <c:v>756</c:v>
                </c:pt>
                <c:pt idx="48">
                  <c:v>786</c:v>
                </c:pt>
                <c:pt idx="49">
                  <c:v>816</c:v>
                </c:pt>
                <c:pt idx="50">
                  <c:v>843</c:v>
                </c:pt>
                <c:pt idx="51">
                  <c:v>871</c:v>
                </c:pt>
                <c:pt idx="52">
                  <c:v>896</c:v>
                </c:pt>
                <c:pt idx="53">
                  <c:v>920</c:v>
                </c:pt>
                <c:pt idx="54">
                  <c:v>942</c:v>
                </c:pt>
                <c:pt idx="55">
                  <c:v>963</c:v>
                </c:pt>
                <c:pt idx="56">
                  <c:v>980</c:v>
                </c:pt>
                <c:pt idx="57">
                  <c:v>998</c:v>
                </c:pt>
                <c:pt idx="58">
                  <c:v>1010</c:v>
                </c:pt>
                <c:pt idx="59">
                  <c:v>1023</c:v>
                </c:pt>
                <c:pt idx="60">
                  <c:v>1031</c:v>
                </c:pt>
                <c:pt idx="61">
                  <c:v>1039</c:v>
                </c:pt>
                <c:pt idx="62">
                  <c:v>1041</c:v>
                </c:pt>
                <c:pt idx="63">
                  <c:v>1044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899200"/>
        <c:axId val="164406016"/>
      </c:scatterChart>
      <c:valAx>
        <c:axId val="222899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4406016"/>
        <c:crosses val="autoZero"/>
        <c:crossBetween val="midCat"/>
      </c:valAx>
      <c:valAx>
        <c:axId val="164406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899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195262</xdr:colOff>
      <xdr:row>2</xdr:row>
      <xdr:rowOff>190499</xdr:rowOff>
    </xdr:from>
    <xdr:to>
      <xdr:col>25</xdr:col>
      <xdr:colOff>500062</xdr:colOff>
      <xdr:row>27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223837</xdr:colOff>
      <xdr:row>39</xdr:row>
      <xdr:rowOff>171449</xdr:rowOff>
    </xdr:from>
    <xdr:to>
      <xdr:col>25</xdr:col>
      <xdr:colOff>528637</xdr:colOff>
      <xdr:row>62</xdr:row>
      <xdr:rowOff>180974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223837</xdr:colOff>
      <xdr:row>67</xdr:row>
      <xdr:rowOff>171449</xdr:rowOff>
    </xdr:from>
    <xdr:to>
      <xdr:col>25</xdr:col>
      <xdr:colOff>528637</xdr:colOff>
      <xdr:row>90</xdr:row>
      <xdr:rowOff>180974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39</xdr:row>
      <xdr:rowOff>104775</xdr:rowOff>
    </xdr:from>
    <xdr:to>
      <xdr:col>21</xdr:col>
      <xdr:colOff>161925</xdr:colOff>
      <xdr:row>70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tabSelected="1" workbookViewId="0">
      <selection activeCell="A37" sqref="A37:XFD37"/>
    </sheetView>
  </sheetViews>
  <sheetFormatPr defaultRowHeight="15" x14ac:dyDescent="0.25"/>
  <cols>
    <col min="6" max="6" width="10.5703125" bestFit="1" customWidth="1"/>
    <col min="9" max="9" width="11.85546875" customWidth="1"/>
    <col min="12" max="15" width="16.140625" customWidth="1"/>
  </cols>
  <sheetData>
    <row r="1" spans="1:29" x14ac:dyDescent="0.25">
      <c r="A1" t="s">
        <v>6</v>
      </c>
      <c r="I1" t="s">
        <v>9</v>
      </c>
      <c r="L1">
        <f>180000000/2^32</f>
        <v>4.1909515857696533E-2</v>
      </c>
    </row>
    <row r="2" spans="1:29" x14ac:dyDescent="0.25">
      <c r="A2" t="s">
        <v>4</v>
      </c>
      <c r="B2">
        <v>31</v>
      </c>
      <c r="C2">
        <v>-2.2000000000000002</v>
      </c>
      <c r="G2" t="s">
        <v>2</v>
      </c>
      <c r="H2" t="s">
        <v>2</v>
      </c>
      <c r="I2" t="s">
        <v>10</v>
      </c>
      <c r="L2" t="s">
        <v>8</v>
      </c>
    </row>
    <row r="3" spans="1:29" x14ac:dyDescent="0.25">
      <c r="A3" t="s">
        <v>3</v>
      </c>
      <c r="B3">
        <f>C2/B2</f>
        <v>-7.0967741935483872E-2</v>
      </c>
      <c r="C3" t="s">
        <v>0</v>
      </c>
      <c r="D3" t="s">
        <v>1</v>
      </c>
      <c r="E3" t="s">
        <v>11</v>
      </c>
      <c r="G3">
        <v>45</v>
      </c>
      <c r="H3">
        <v>419</v>
      </c>
      <c r="I3">
        <f>128*H3</f>
        <v>53632</v>
      </c>
      <c r="J3">
        <v>6.25</v>
      </c>
      <c r="K3">
        <f>128*J3</f>
        <v>800</v>
      </c>
      <c r="L3">
        <v>419</v>
      </c>
      <c r="P3">
        <v>0</v>
      </c>
      <c r="Q3" s="1">
        <v>0</v>
      </c>
      <c r="R3" s="2">
        <v>0</v>
      </c>
    </row>
    <row r="4" spans="1:29" x14ac:dyDescent="0.25">
      <c r="D4">
        <v>0</v>
      </c>
      <c r="E4">
        <v>0</v>
      </c>
      <c r="H4">
        <v>0</v>
      </c>
      <c r="J4" s="3">
        <f>J$3*$E4/2^16</f>
        <v>0</v>
      </c>
      <c r="K4">
        <f t="shared" ref="K4:K37" si="0">ROUND(128*J4,0)</f>
        <v>0</v>
      </c>
      <c r="L4">
        <f t="shared" ref="L4:L37" si="1">ROUND(H4/L$1,0)</f>
        <v>0</v>
      </c>
      <c r="M4">
        <f t="shared" ref="M4:M36" si="2">ROUND((L5-L4)/2+L4,0)</f>
        <v>40</v>
      </c>
      <c r="N4">
        <f>E5-E4</f>
        <v>518</v>
      </c>
      <c r="O4">
        <f>N4/2</f>
        <v>259</v>
      </c>
      <c r="Q4" s="1"/>
      <c r="R4" s="2"/>
    </row>
    <row r="5" spans="1:29" x14ac:dyDescent="0.25">
      <c r="A5">
        <v>0</v>
      </c>
      <c r="C5">
        <f>C$2+A5*(-C$2/B$2)</f>
        <v>-2.2000000000000002</v>
      </c>
      <c r="D5">
        <f t="shared" ref="D5:D37" si="3">EXP(-(C5^2))</f>
        <v>7.9070540515934346E-3</v>
      </c>
      <c r="E5">
        <f>ROUND(D5*(2^16-1),0)</f>
        <v>518</v>
      </c>
      <c r="F5">
        <f>E5/2^16</f>
        <v>7.904052734375E-3</v>
      </c>
      <c r="G5" s="2">
        <f t="shared" ref="G5:H24" si="4">G$3*$D5</f>
        <v>0.35581743232170454</v>
      </c>
      <c r="H5" s="3">
        <f t="shared" si="4"/>
        <v>3.3130556476176491</v>
      </c>
      <c r="I5">
        <f t="shared" ref="I5:I37" si="5">ROUND(128*H5,0)</f>
        <v>424</v>
      </c>
      <c r="J5" s="3">
        <f>J$3*$E5/2^16</f>
        <v>4.940032958984375E-2</v>
      </c>
      <c r="K5">
        <f t="shared" si="0"/>
        <v>6</v>
      </c>
      <c r="L5">
        <f t="shared" si="1"/>
        <v>79</v>
      </c>
      <c r="M5">
        <f t="shared" si="2"/>
        <v>93</v>
      </c>
      <c r="N5">
        <f t="shared" ref="N5:N35" si="6">E6-E5</f>
        <v>187</v>
      </c>
      <c r="O5">
        <f t="shared" ref="O5:O35" si="7">N5/2</f>
        <v>93.5</v>
      </c>
      <c r="P5">
        <v>1</v>
      </c>
      <c r="Q5" s="1">
        <v>6.25</v>
      </c>
      <c r="R5" s="2">
        <v>6.25</v>
      </c>
    </row>
    <row r="6" spans="1:29" x14ac:dyDescent="0.25">
      <c r="A6">
        <v>1</v>
      </c>
      <c r="B6">
        <f>C5-C6</f>
        <v>-7.0967741935483719E-2</v>
      </c>
      <c r="C6">
        <f t="shared" ref="C6:C37" si="8">C$2+A6*(-C$2/B$2)</f>
        <v>-2.1290322580645165</v>
      </c>
      <c r="D6">
        <f t="shared" si="3"/>
        <v>1.0750765088913398E-2</v>
      </c>
      <c r="E6">
        <f t="shared" ref="E6:E37" si="9">ROUND(D6*(2^16-1),0)</f>
        <v>705</v>
      </c>
      <c r="F6">
        <f t="shared" ref="F6:F36" si="10">E6/2^16</f>
        <v>1.07574462890625E-2</v>
      </c>
      <c r="G6" s="2">
        <f t="shared" si="4"/>
        <v>0.48378442900110291</v>
      </c>
      <c r="H6" s="3">
        <f t="shared" si="4"/>
        <v>4.504570572254714</v>
      </c>
      <c r="I6">
        <f t="shared" si="5"/>
        <v>577</v>
      </c>
      <c r="J6" s="3">
        <f t="shared" ref="J6:J37" si="11">J$3*$E6/2^16</f>
        <v>6.7234039306640625E-2</v>
      </c>
      <c r="K6">
        <f t="shared" si="0"/>
        <v>9</v>
      </c>
      <c r="L6">
        <f t="shared" si="1"/>
        <v>107</v>
      </c>
      <c r="M6">
        <f t="shared" si="2"/>
        <v>126</v>
      </c>
      <c r="N6">
        <f t="shared" si="6"/>
        <v>243</v>
      </c>
      <c r="O6">
        <f t="shared" si="7"/>
        <v>121.5</v>
      </c>
      <c r="P6">
        <v>2</v>
      </c>
      <c r="Q6" s="1">
        <v>12.5</v>
      </c>
      <c r="R6" s="2">
        <v>12.5</v>
      </c>
    </row>
    <row r="7" spans="1:29" x14ac:dyDescent="0.25">
      <c r="A7">
        <v>2</v>
      </c>
      <c r="B7">
        <f t="shared" ref="B7:B37" si="12">C6-C7</f>
        <v>-7.0967741935484163E-2</v>
      </c>
      <c r="C7">
        <f t="shared" si="8"/>
        <v>-2.0580645161290323</v>
      </c>
      <c r="D7">
        <f t="shared" si="3"/>
        <v>1.4470697265170415E-2</v>
      </c>
      <c r="E7">
        <f t="shared" si="9"/>
        <v>948</v>
      </c>
      <c r="F7">
        <f t="shared" si="10"/>
        <v>1.446533203125E-2</v>
      </c>
      <c r="G7" s="2">
        <f t="shared" si="4"/>
        <v>0.65118137693266864</v>
      </c>
      <c r="H7" s="3">
        <f t="shared" si="4"/>
        <v>6.0632221541064037</v>
      </c>
      <c r="I7">
        <f t="shared" si="5"/>
        <v>776</v>
      </c>
      <c r="J7" s="3">
        <f t="shared" si="11"/>
        <v>9.04083251953125E-2</v>
      </c>
      <c r="K7">
        <f t="shared" si="0"/>
        <v>12</v>
      </c>
      <c r="L7">
        <f t="shared" si="1"/>
        <v>145</v>
      </c>
      <c r="M7">
        <f t="shared" si="2"/>
        <v>169</v>
      </c>
      <c r="N7">
        <f t="shared" si="6"/>
        <v>316</v>
      </c>
      <c r="O7">
        <f t="shared" si="7"/>
        <v>158</v>
      </c>
      <c r="P7">
        <v>3</v>
      </c>
      <c r="Q7" s="1">
        <v>18.75</v>
      </c>
      <c r="R7" s="2">
        <v>18.75</v>
      </c>
    </row>
    <row r="8" spans="1:29" x14ac:dyDescent="0.25">
      <c r="A8">
        <v>3</v>
      </c>
      <c r="B8">
        <f t="shared" si="12"/>
        <v>-7.0967741935483719E-2</v>
      </c>
      <c r="C8">
        <f t="shared" si="8"/>
        <v>-1.9870967741935486</v>
      </c>
      <c r="D8">
        <f t="shared" si="3"/>
        <v>1.9282572119494582E-2</v>
      </c>
      <c r="E8">
        <f t="shared" si="9"/>
        <v>1264</v>
      </c>
      <c r="F8">
        <f t="shared" si="10"/>
        <v>1.9287109375E-2</v>
      </c>
      <c r="G8" s="2">
        <f t="shared" si="4"/>
        <v>0.86771574537725615</v>
      </c>
      <c r="H8" s="3">
        <f t="shared" si="4"/>
        <v>8.0793977180682308</v>
      </c>
      <c r="I8">
        <f t="shared" si="5"/>
        <v>1034</v>
      </c>
      <c r="J8" s="3">
        <f t="shared" si="11"/>
        <v>0.12054443359375</v>
      </c>
      <c r="K8">
        <f t="shared" si="0"/>
        <v>15</v>
      </c>
      <c r="L8">
        <f t="shared" si="1"/>
        <v>193</v>
      </c>
      <c r="M8">
        <f t="shared" si="2"/>
        <v>224</v>
      </c>
      <c r="N8">
        <f t="shared" si="6"/>
        <v>403</v>
      </c>
      <c r="O8">
        <f t="shared" si="7"/>
        <v>201.5</v>
      </c>
      <c r="P8">
        <v>4</v>
      </c>
      <c r="Q8" s="1">
        <v>25</v>
      </c>
      <c r="R8" s="2">
        <v>25</v>
      </c>
    </row>
    <row r="9" spans="1:29" x14ac:dyDescent="0.25">
      <c r="A9">
        <v>4</v>
      </c>
      <c r="B9">
        <f t="shared" si="12"/>
        <v>-7.0967741935483941E-2</v>
      </c>
      <c r="C9">
        <f t="shared" si="8"/>
        <v>-1.9161290322580646</v>
      </c>
      <c r="D9">
        <f t="shared" si="3"/>
        <v>2.5437000094878339E-2</v>
      </c>
      <c r="E9">
        <f t="shared" si="9"/>
        <v>1667</v>
      </c>
      <c r="F9">
        <f t="shared" si="10"/>
        <v>2.54364013671875E-2</v>
      </c>
      <c r="G9" s="2">
        <f t="shared" si="4"/>
        <v>1.1446650042695252</v>
      </c>
      <c r="H9" s="3">
        <f t="shared" si="4"/>
        <v>10.658103039754025</v>
      </c>
      <c r="I9">
        <f t="shared" si="5"/>
        <v>1364</v>
      </c>
      <c r="J9" s="3">
        <f t="shared" si="11"/>
        <v>0.15897750854492188</v>
      </c>
      <c r="K9">
        <f t="shared" si="0"/>
        <v>20</v>
      </c>
      <c r="L9">
        <f t="shared" si="1"/>
        <v>254</v>
      </c>
      <c r="M9">
        <f t="shared" si="2"/>
        <v>293</v>
      </c>
      <c r="N9">
        <f t="shared" si="6"/>
        <v>510</v>
      </c>
      <c r="O9">
        <f t="shared" si="7"/>
        <v>255</v>
      </c>
      <c r="P9">
        <v>5</v>
      </c>
      <c r="Q9" s="1">
        <v>31.25</v>
      </c>
      <c r="R9" s="2">
        <v>31.25</v>
      </c>
      <c r="AC9">
        <f>159*0.2</f>
        <v>31.8</v>
      </c>
    </row>
    <row r="10" spans="1:29" x14ac:dyDescent="0.25">
      <c r="A10">
        <v>5</v>
      </c>
      <c r="B10">
        <f t="shared" si="12"/>
        <v>-7.0967741935483941E-2</v>
      </c>
      <c r="C10">
        <f t="shared" si="8"/>
        <v>-1.8451612903225807</v>
      </c>
      <c r="D10">
        <f t="shared" si="3"/>
        <v>3.3219434849294793E-2</v>
      </c>
      <c r="E10">
        <f t="shared" si="9"/>
        <v>2177</v>
      </c>
      <c r="F10">
        <f t="shared" si="10"/>
        <v>3.32183837890625E-2</v>
      </c>
      <c r="G10" s="2">
        <f t="shared" si="4"/>
        <v>1.4948745682182656</v>
      </c>
      <c r="H10" s="3">
        <f t="shared" si="4"/>
        <v>13.918943201854518</v>
      </c>
      <c r="I10">
        <f t="shared" si="5"/>
        <v>1782</v>
      </c>
      <c r="J10" s="3">
        <f t="shared" si="11"/>
        <v>0.20761489868164063</v>
      </c>
      <c r="K10">
        <f t="shared" si="0"/>
        <v>27</v>
      </c>
      <c r="L10">
        <f t="shared" si="1"/>
        <v>332</v>
      </c>
      <c r="M10">
        <f t="shared" si="2"/>
        <v>381</v>
      </c>
      <c r="N10">
        <f t="shared" si="6"/>
        <v>638</v>
      </c>
      <c r="O10">
        <f t="shared" si="7"/>
        <v>319</v>
      </c>
      <c r="P10">
        <v>6</v>
      </c>
      <c r="Q10" s="1">
        <v>37.5</v>
      </c>
      <c r="R10" s="2">
        <v>37.5</v>
      </c>
    </row>
    <row r="11" spans="1:29" x14ac:dyDescent="0.25">
      <c r="A11">
        <v>6</v>
      </c>
      <c r="B11">
        <f t="shared" si="12"/>
        <v>-7.0967741935483719E-2</v>
      </c>
      <c r="C11">
        <f t="shared" si="8"/>
        <v>-1.774193548387097</v>
      </c>
      <c r="D11">
        <f t="shared" si="3"/>
        <v>4.2948105234404323E-2</v>
      </c>
      <c r="E11">
        <f t="shared" si="9"/>
        <v>2815</v>
      </c>
      <c r="F11">
        <f t="shared" si="10"/>
        <v>4.29534912109375E-2</v>
      </c>
      <c r="G11" s="2">
        <f t="shared" si="4"/>
        <v>1.9326647355481945</v>
      </c>
      <c r="H11" s="3">
        <f t="shared" si="4"/>
        <v>17.99525609321541</v>
      </c>
      <c r="I11">
        <f t="shared" si="5"/>
        <v>2303</v>
      </c>
      <c r="J11" s="3">
        <f t="shared" si="11"/>
        <v>0.26845932006835938</v>
      </c>
      <c r="K11">
        <f t="shared" si="0"/>
        <v>34</v>
      </c>
      <c r="L11">
        <f t="shared" si="1"/>
        <v>429</v>
      </c>
      <c r="M11">
        <f t="shared" si="2"/>
        <v>490</v>
      </c>
      <c r="N11">
        <f t="shared" si="6"/>
        <v>787</v>
      </c>
      <c r="O11">
        <f t="shared" si="7"/>
        <v>393.5</v>
      </c>
      <c r="P11">
        <v>7</v>
      </c>
      <c r="Q11" s="1">
        <v>43.75</v>
      </c>
      <c r="R11" s="2">
        <v>43.75</v>
      </c>
    </row>
    <row r="12" spans="1:29" x14ac:dyDescent="0.25">
      <c r="A12">
        <v>7</v>
      </c>
      <c r="B12">
        <f t="shared" si="12"/>
        <v>-7.0967741935483941E-2</v>
      </c>
      <c r="C12">
        <f t="shared" si="8"/>
        <v>-1.703225806451613</v>
      </c>
      <c r="D12">
        <f t="shared" si="3"/>
        <v>5.4969425530596513E-2</v>
      </c>
      <c r="E12">
        <f t="shared" si="9"/>
        <v>3602</v>
      </c>
      <c r="F12">
        <f t="shared" si="10"/>
        <v>5.4962158203125E-2</v>
      </c>
      <c r="G12" s="2">
        <f t="shared" si="4"/>
        <v>2.4736241488768429</v>
      </c>
      <c r="H12" s="3">
        <f t="shared" si="4"/>
        <v>23.032189297319938</v>
      </c>
      <c r="I12">
        <f t="shared" si="5"/>
        <v>2948</v>
      </c>
      <c r="J12" s="3">
        <f t="shared" si="11"/>
        <v>0.34351348876953125</v>
      </c>
      <c r="K12">
        <f t="shared" si="0"/>
        <v>44</v>
      </c>
      <c r="L12">
        <f t="shared" si="1"/>
        <v>550</v>
      </c>
      <c r="M12">
        <f t="shared" si="2"/>
        <v>623</v>
      </c>
      <c r="N12">
        <f t="shared" si="6"/>
        <v>963</v>
      </c>
      <c r="O12">
        <f t="shared" si="7"/>
        <v>481.5</v>
      </c>
    </row>
    <row r="13" spans="1:29" x14ac:dyDescent="0.25">
      <c r="A13">
        <v>8</v>
      </c>
      <c r="B13">
        <f t="shared" si="12"/>
        <v>-7.0967741935483941E-2</v>
      </c>
      <c r="C13">
        <f t="shared" si="8"/>
        <v>-1.6322580645161291</v>
      </c>
      <c r="D13">
        <f t="shared" si="3"/>
        <v>6.9650431105468535E-2</v>
      </c>
      <c r="E13">
        <f t="shared" si="9"/>
        <v>4565</v>
      </c>
      <c r="F13">
        <f t="shared" si="10"/>
        <v>6.96563720703125E-2</v>
      </c>
      <c r="G13" s="2">
        <f t="shared" si="4"/>
        <v>3.134269399746084</v>
      </c>
      <c r="H13" s="3">
        <f t="shared" si="4"/>
        <v>29.183530633191317</v>
      </c>
      <c r="I13">
        <f t="shared" si="5"/>
        <v>3735</v>
      </c>
      <c r="J13" s="3">
        <f t="shared" si="11"/>
        <v>0.43535232543945313</v>
      </c>
      <c r="K13">
        <f t="shared" si="0"/>
        <v>56</v>
      </c>
      <c r="L13">
        <f t="shared" si="1"/>
        <v>696</v>
      </c>
      <c r="M13">
        <f t="shared" si="2"/>
        <v>785</v>
      </c>
      <c r="N13">
        <f t="shared" si="6"/>
        <v>1161</v>
      </c>
      <c r="O13">
        <f t="shared" si="7"/>
        <v>580.5</v>
      </c>
    </row>
    <row r="14" spans="1:29" x14ac:dyDescent="0.25">
      <c r="A14">
        <v>9</v>
      </c>
      <c r="B14">
        <f t="shared" si="12"/>
        <v>-7.0967741935483719E-2</v>
      </c>
      <c r="C14">
        <f t="shared" si="8"/>
        <v>-1.5612903225806454</v>
      </c>
      <c r="D14">
        <f t="shared" si="3"/>
        <v>8.7367888579899508E-2</v>
      </c>
      <c r="E14">
        <f t="shared" si="9"/>
        <v>5726</v>
      </c>
      <c r="F14">
        <f t="shared" si="10"/>
        <v>8.7371826171875E-2</v>
      </c>
      <c r="G14" s="2">
        <f t="shared" si="4"/>
        <v>3.9315549860954779</v>
      </c>
      <c r="H14" s="3">
        <f t="shared" si="4"/>
        <v>36.607145314977892</v>
      </c>
      <c r="I14">
        <f t="shared" si="5"/>
        <v>4686</v>
      </c>
      <c r="J14" s="3">
        <f t="shared" si="11"/>
        <v>0.54607391357421875</v>
      </c>
      <c r="K14">
        <f t="shared" si="0"/>
        <v>70</v>
      </c>
      <c r="L14">
        <f t="shared" si="1"/>
        <v>873</v>
      </c>
      <c r="M14">
        <f t="shared" si="2"/>
        <v>979</v>
      </c>
      <c r="N14">
        <f t="shared" si="6"/>
        <v>1384</v>
      </c>
      <c r="O14">
        <f t="shared" si="7"/>
        <v>692</v>
      </c>
    </row>
    <row r="15" spans="1:29" x14ac:dyDescent="0.25">
      <c r="A15">
        <v>10</v>
      </c>
      <c r="B15">
        <f t="shared" si="12"/>
        <v>-7.0967741935483941E-2</v>
      </c>
      <c r="C15">
        <f t="shared" si="8"/>
        <v>-1.4903225806451614</v>
      </c>
      <c r="D15">
        <f t="shared" si="3"/>
        <v>0.10849389288273495</v>
      </c>
      <c r="E15">
        <f t="shared" si="9"/>
        <v>7110</v>
      </c>
      <c r="F15">
        <f t="shared" si="10"/>
        <v>0.108489990234375</v>
      </c>
      <c r="G15" s="2">
        <f t="shared" si="4"/>
        <v>4.8822251797230729</v>
      </c>
      <c r="H15" s="3">
        <f t="shared" si="4"/>
        <v>45.45894111786594</v>
      </c>
      <c r="I15">
        <f t="shared" si="5"/>
        <v>5819</v>
      </c>
      <c r="J15" s="3">
        <f t="shared" si="11"/>
        <v>0.67806243896484375</v>
      </c>
      <c r="K15">
        <f t="shared" si="0"/>
        <v>87</v>
      </c>
      <c r="L15">
        <f t="shared" si="1"/>
        <v>1085</v>
      </c>
      <c r="M15">
        <f t="shared" si="2"/>
        <v>1209</v>
      </c>
      <c r="N15">
        <f t="shared" si="6"/>
        <v>1631</v>
      </c>
      <c r="O15">
        <f t="shared" si="7"/>
        <v>815.5</v>
      </c>
    </row>
    <row r="16" spans="1:29" x14ac:dyDescent="0.25">
      <c r="A16">
        <v>11</v>
      </c>
      <c r="B16">
        <f t="shared" si="12"/>
        <v>-7.0967741935483941E-2</v>
      </c>
      <c r="C16">
        <f t="shared" si="8"/>
        <v>-1.4193548387096775</v>
      </c>
      <c r="D16">
        <f t="shared" si="3"/>
        <v>0.13337798912618043</v>
      </c>
      <c r="E16">
        <f t="shared" si="9"/>
        <v>8741</v>
      </c>
      <c r="F16">
        <f t="shared" si="10"/>
        <v>0.1333770751953125</v>
      </c>
      <c r="G16" s="2">
        <f t="shared" si="4"/>
        <v>6.0020095106781195</v>
      </c>
      <c r="H16" s="3">
        <f t="shared" si="4"/>
        <v>55.885377443869601</v>
      </c>
      <c r="I16">
        <f t="shared" si="5"/>
        <v>7153</v>
      </c>
      <c r="J16" s="3">
        <f t="shared" si="11"/>
        <v>0.83360671997070313</v>
      </c>
      <c r="K16">
        <f t="shared" si="0"/>
        <v>107</v>
      </c>
      <c r="L16">
        <f t="shared" si="1"/>
        <v>1333</v>
      </c>
      <c r="M16">
        <f t="shared" si="2"/>
        <v>1478</v>
      </c>
      <c r="N16">
        <f t="shared" si="6"/>
        <v>1897</v>
      </c>
      <c r="O16">
        <f t="shared" si="7"/>
        <v>948.5</v>
      </c>
    </row>
    <row r="17" spans="1:16" x14ac:dyDescent="0.25">
      <c r="A17">
        <v>12</v>
      </c>
      <c r="B17">
        <f t="shared" si="12"/>
        <v>-7.0967741935483719E-2</v>
      </c>
      <c r="C17">
        <f t="shared" si="8"/>
        <v>-1.3483870967741938</v>
      </c>
      <c r="D17">
        <f t="shared" si="3"/>
        <v>0.16232613917494793</v>
      </c>
      <c r="E17">
        <f t="shared" si="9"/>
        <v>10638</v>
      </c>
      <c r="F17">
        <f t="shared" si="10"/>
        <v>0.162322998046875</v>
      </c>
      <c r="G17" s="2">
        <f t="shared" si="4"/>
        <v>7.3046762628726567</v>
      </c>
      <c r="H17" s="3">
        <f t="shared" si="4"/>
        <v>68.014652314303177</v>
      </c>
      <c r="I17">
        <f t="shared" si="5"/>
        <v>8706</v>
      </c>
      <c r="J17" s="3">
        <f t="shared" si="11"/>
        <v>1.0145187377929687</v>
      </c>
      <c r="K17">
        <f t="shared" si="0"/>
        <v>130</v>
      </c>
      <c r="L17">
        <f t="shared" si="1"/>
        <v>1623</v>
      </c>
      <c r="M17">
        <f t="shared" si="2"/>
        <v>1789</v>
      </c>
      <c r="N17">
        <f t="shared" si="6"/>
        <v>2179</v>
      </c>
      <c r="O17">
        <f t="shared" si="7"/>
        <v>1089.5</v>
      </c>
      <c r="P17">
        <f>6.25*7/L1</f>
        <v>1043.9156622222222</v>
      </c>
    </row>
    <row r="18" spans="1:16" x14ac:dyDescent="0.25">
      <c r="A18">
        <v>13</v>
      </c>
      <c r="B18">
        <f t="shared" si="12"/>
        <v>-7.0967741935483941E-2</v>
      </c>
      <c r="C18">
        <f t="shared" si="8"/>
        <v>-1.2774193548387098</v>
      </c>
      <c r="D18">
        <f t="shared" si="3"/>
        <v>0.1955771774061823</v>
      </c>
      <c r="E18">
        <f t="shared" si="9"/>
        <v>12817</v>
      </c>
      <c r="F18">
        <f t="shared" si="10"/>
        <v>0.1955718994140625</v>
      </c>
      <c r="G18" s="2">
        <f t="shared" si="4"/>
        <v>8.8009729832782035</v>
      </c>
      <c r="H18" s="3">
        <f t="shared" si="4"/>
        <v>81.946837333190388</v>
      </c>
      <c r="I18">
        <f t="shared" si="5"/>
        <v>10489</v>
      </c>
      <c r="J18" s="3">
        <f t="shared" si="11"/>
        <v>1.2223243713378906</v>
      </c>
      <c r="K18">
        <f t="shared" si="0"/>
        <v>156</v>
      </c>
      <c r="L18">
        <f t="shared" si="1"/>
        <v>1955</v>
      </c>
      <c r="M18">
        <f t="shared" si="2"/>
        <v>2144</v>
      </c>
      <c r="N18">
        <f t="shared" si="6"/>
        <v>2471</v>
      </c>
      <c r="O18">
        <f t="shared" si="7"/>
        <v>1235.5</v>
      </c>
      <c r="P18">
        <f>P17*2^10</f>
        <v>1068969.6381155555</v>
      </c>
    </row>
    <row r="19" spans="1:16" x14ac:dyDescent="0.25">
      <c r="A19">
        <v>14</v>
      </c>
      <c r="B19">
        <f t="shared" si="12"/>
        <v>-7.0967741935483941E-2</v>
      </c>
      <c r="C19">
        <f t="shared" si="8"/>
        <v>-1.2064516129032259</v>
      </c>
      <c r="D19">
        <f t="shared" si="3"/>
        <v>0.23327774556615768</v>
      </c>
      <c r="E19">
        <f t="shared" si="9"/>
        <v>15288</v>
      </c>
      <c r="F19">
        <f t="shared" si="10"/>
        <v>0.2332763671875</v>
      </c>
      <c r="G19" s="2">
        <f t="shared" si="4"/>
        <v>10.497498550477095</v>
      </c>
      <c r="H19" s="3">
        <f t="shared" si="4"/>
        <v>97.743375392220074</v>
      </c>
      <c r="I19">
        <f t="shared" si="5"/>
        <v>12511</v>
      </c>
      <c r="J19" s="3">
        <f t="shared" si="11"/>
        <v>1.457977294921875</v>
      </c>
      <c r="K19">
        <f t="shared" si="0"/>
        <v>187</v>
      </c>
      <c r="L19">
        <f t="shared" si="1"/>
        <v>2332</v>
      </c>
      <c r="M19">
        <f t="shared" si="2"/>
        <v>2543</v>
      </c>
      <c r="N19">
        <f t="shared" si="6"/>
        <v>2764</v>
      </c>
      <c r="O19">
        <f t="shared" si="7"/>
        <v>1382</v>
      </c>
    </row>
    <row r="20" spans="1:16" x14ac:dyDescent="0.25">
      <c r="A20">
        <v>15</v>
      </c>
      <c r="B20">
        <f t="shared" si="12"/>
        <v>-7.0967741935483719E-2</v>
      </c>
      <c r="C20">
        <f t="shared" si="8"/>
        <v>-1.1354838709677422</v>
      </c>
      <c r="D20">
        <f t="shared" si="3"/>
        <v>0.27545703338478916</v>
      </c>
      <c r="E20">
        <f t="shared" si="9"/>
        <v>18052</v>
      </c>
      <c r="F20">
        <f t="shared" si="10"/>
        <v>0.27545166015625</v>
      </c>
      <c r="G20" s="2">
        <f t="shared" si="4"/>
        <v>12.395566502315512</v>
      </c>
      <c r="H20" s="3">
        <f t="shared" si="4"/>
        <v>115.41649698822665</v>
      </c>
      <c r="I20">
        <f t="shared" si="5"/>
        <v>14773</v>
      </c>
      <c r="J20" s="3">
        <f t="shared" si="11"/>
        <v>1.7215728759765625</v>
      </c>
      <c r="K20">
        <f t="shared" si="0"/>
        <v>220</v>
      </c>
      <c r="L20">
        <f t="shared" si="1"/>
        <v>2754</v>
      </c>
      <c r="M20">
        <f t="shared" si="2"/>
        <v>2987</v>
      </c>
      <c r="N20">
        <f t="shared" si="6"/>
        <v>3050</v>
      </c>
      <c r="O20">
        <f t="shared" si="7"/>
        <v>1525</v>
      </c>
    </row>
    <row r="21" spans="1:16" x14ac:dyDescent="0.25">
      <c r="A21">
        <v>16</v>
      </c>
      <c r="B21">
        <f t="shared" si="12"/>
        <v>-7.0967741935483941E-2</v>
      </c>
      <c r="C21">
        <f t="shared" si="8"/>
        <v>-1.0645161290322582</v>
      </c>
      <c r="D21">
        <f t="shared" si="3"/>
        <v>0.32200294453212858</v>
      </c>
      <c r="E21">
        <f t="shared" si="9"/>
        <v>21102</v>
      </c>
      <c r="F21">
        <f t="shared" si="10"/>
        <v>0.321990966796875</v>
      </c>
      <c r="G21" s="2">
        <f t="shared" si="4"/>
        <v>14.490132503945786</v>
      </c>
      <c r="H21" s="3">
        <f t="shared" si="4"/>
        <v>134.91923375896187</v>
      </c>
      <c r="I21">
        <f t="shared" si="5"/>
        <v>17270</v>
      </c>
      <c r="J21" s="3">
        <f t="shared" si="11"/>
        <v>2.0124435424804687</v>
      </c>
      <c r="K21">
        <f t="shared" si="0"/>
        <v>258</v>
      </c>
      <c r="L21">
        <f t="shared" si="1"/>
        <v>3219</v>
      </c>
      <c r="M21">
        <f t="shared" si="2"/>
        <v>3473</v>
      </c>
      <c r="N21">
        <f t="shared" si="6"/>
        <v>3319</v>
      </c>
      <c r="O21">
        <f t="shared" si="7"/>
        <v>1659.5</v>
      </c>
    </row>
    <row r="22" spans="1:16" x14ac:dyDescent="0.25">
      <c r="A22">
        <v>17</v>
      </c>
      <c r="B22">
        <f t="shared" si="12"/>
        <v>-7.0967741935483941E-2</v>
      </c>
      <c r="C22">
        <f t="shared" si="8"/>
        <v>-0.99354838709677429</v>
      </c>
      <c r="D22">
        <f t="shared" si="3"/>
        <v>0.372641518639098</v>
      </c>
      <c r="E22">
        <f t="shared" si="9"/>
        <v>24421</v>
      </c>
      <c r="F22">
        <f t="shared" si="10"/>
        <v>0.3726348876953125</v>
      </c>
      <c r="G22" s="2">
        <f t="shared" si="4"/>
        <v>16.768868338759411</v>
      </c>
      <c r="H22" s="3">
        <f t="shared" si="4"/>
        <v>156.13679630978206</v>
      </c>
      <c r="I22">
        <f t="shared" si="5"/>
        <v>19986</v>
      </c>
      <c r="J22" s="3">
        <f t="shared" si="11"/>
        <v>2.3289680480957031</v>
      </c>
      <c r="K22">
        <f t="shared" si="0"/>
        <v>298</v>
      </c>
      <c r="L22">
        <f t="shared" si="1"/>
        <v>3726</v>
      </c>
      <c r="M22">
        <f t="shared" si="2"/>
        <v>3997</v>
      </c>
      <c r="N22">
        <f t="shared" si="6"/>
        <v>3557</v>
      </c>
      <c r="O22">
        <f t="shared" si="7"/>
        <v>1778.5</v>
      </c>
    </row>
    <row r="23" spans="1:16" x14ac:dyDescent="0.25">
      <c r="A23">
        <v>18</v>
      </c>
      <c r="B23">
        <f t="shared" si="12"/>
        <v>-7.0967741935483719E-2</v>
      </c>
      <c r="C23">
        <f t="shared" si="8"/>
        <v>-0.92258064516129057</v>
      </c>
      <c r="D23">
        <f t="shared" si="3"/>
        <v>0.42692153269257638</v>
      </c>
      <c r="E23">
        <f t="shared" si="9"/>
        <v>27978</v>
      </c>
      <c r="F23">
        <f t="shared" si="10"/>
        <v>0.426910400390625</v>
      </c>
      <c r="G23" s="2">
        <f t="shared" si="4"/>
        <v>19.211468971165935</v>
      </c>
      <c r="H23" s="3">
        <f t="shared" si="4"/>
        <v>178.8801221981895</v>
      </c>
      <c r="I23">
        <f t="shared" si="5"/>
        <v>22897</v>
      </c>
      <c r="J23" s="3">
        <f t="shared" si="11"/>
        <v>2.6681900024414063</v>
      </c>
      <c r="K23">
        <f t="shared" si="0"/>
        <v>342</v>
      </c>
      <c r="L23">
        <f t="shared" si="1"/>
        <v>4268</v>
      </c>
      <c r="M23">
        <f t="shared" si="2"/>
        <v>4555</v>
      </c>
      <c r="N23">
        <f t="shared" si="6"/>
        <v>3754</v>
      </c>
      <c r="O23">
        <f t="shared" si="7"/>
        <v>1877</v>
      </c>
    </row>
    <row r="24" spans="1:16" x14ac:dyDescent="0.25">
      <c r="A24">
        <v>19</v>
      </c>
      <c r="B24">
        <f t="shared" si="12"/>
        <v>-7.0967741935483941E-2</v>
      </c>
      <c r="C24">
        <f t="shared" si="8"/>
        <v>-0.85161290322580663</v>
      </c>
      <c r="D24">
        <f t="shared" si="3"/>
        <v>0.48420614818668689</v>
      </c>
      <c r="E24">
        <f t="shared" si="9"/>
        <v>31732</v>
      </c>
      <c r="F24">
        <f t="shared" si="10"/>
        <v>0.48419189453125</v>
      </c>
      <c r="G24" s="2">
        <f t="shared" si="4"/>
        <v>21.789276668400909</v>
      </c>
      <c r="H24" s="3">
        <f t="shared" si="4"/>
        <v>202.88237609022181</v>
      </c>
      <c r="I24">
        <f t="shared" si="5"/>
        <v>25969</v>
      </c>
      <c r="J24" s="3">
        <f t="shared" si="11"/>
        <v>3.0261993408203125</v>
      </c>
      <c r="K24">
        <f t="shared" si="0"/>
        <v>387</v>
      </c>
      <c r="L24">
        <f t="shared" si="1"/>
        <v>4841</v>
      </c>
      <c r="M24">
        <f t="shared" si="2"/>
        <v>5138</v>
      </c>
      <c r="N24">
        <f t="shared" si="6"/>
        <v>3898</v>
      </c>
      <c r="O24">
        <f t="shared" si="7"/>
        <v>1949</v>
      </c>
    </row>
    <row r="25" spans="1:16" x14ac:dyDescent="0.25">
      <c r="A25">
        <v>20</v>
      </c>
      <c r="B25">
        <f t="shared" si="12"/>
        <v>-7.0967741935483941E-2</v>
      </c>
      <c r="C25">
        <f t="shared" si="8"/>
        <v>-0.78064516129032269</v>
      </c>
      <c r="D25">
        <f t="shared" si="3"/>
        <v>0.54367324354173496</v>
      </c>
      <c r="E25">
        <f t="shared" si="9"/>
        <v>35630</v>
      </c>
      <c r="F25">
        <f t="shared" si="10"/>
        <v>0.543670654296875</v>
      </c>
      <c r="G25" s="2">
        <f t="shared" ref="G25:H37" si="13">G$3*$D25</f>
        <v>24.465295959378075</v>
      </c>
      <c r="H25" s="3">
        <f t="shared" si="13"/>
        <v>227.79908904398695</v>
      </c>
      <c r="I25">
        <f t="shared" si="5"/>
        <v>29158</v>
      </c>
      <c r="J25" s="3">
        <f t="shared" si="11"/>
        <v>3.3979415893554687</v>
      </c>
      <c r="K25">
        <f t="shared" si="0"/>
        <v>435</v>
      </c>
      <c r="L25">
        <f t="shared" si="1"/>
        <v>5435</v>
      </c>
      <c r="M25">
        <f t="shared" si="2"/>
        <v>5739</v>
      </c>
      <c r="N25">
        <f t="shared" si="6"/>
        <v>3974</v>
      </c>
      <c r="O25">
        <f t="shared" si="7"/>
        <v>1987</v>
      </c>
    </row>
    <row r="26" spans="1:16" x14ac:dyDescent="0.25">
      <c r="A26">
        <v>21</v>
      </c>
      <c r="B26">
        <f t="shared" si="12"/>
        <v>-7.0967741935483719E-2</v>
      </c>
      <c r="C26">
        <f t="shared" si="8"/>
        <v>-0.70967741935483897</v>
      </c>
      <c r="D26">
        <f t="shared" si="3"/>
        <v>0.60432566883575167</v>
      </c>
      <c r="E26">
        <f t="shared" si="9"/>
        <v>39604</v>
      </c>
      <c r="F26">
        <f t="shared" si="10"/>
        <v>0.60430908203125</v>
      </c>
      <c r="G26" s="2">
        <f t="shared" si="13"/>
        <v>27.194655097608827</v>
      </c>
      <c r="H26" s="3">
        <f t="shared" si="13"/>
        <v>253.21245524217994</v>
      </c>
      <c r="I26">
        <f t="shared" si="5"/>
        <v>32411</v>
      </c>
      <c r="J26" s="3">
        <f t="shared" si="11"/>
        <v>3.7769317626953125</v>
      </c>
      <c r="K26">
        <f t="shared" si="0"/>
        <v>483</v>
      </c>
      <c r="L26">
        <f t="shared" si="1"/>
        <v>6042</v>
      </c>
      <c r="M26">
        <f t="shared" si="2"/>
        <v>6346</v>
      </c>
      <c r="N26">
        <f t="shared" si="6"/>
        <v>3978</v>
      </c>
      <c r="O26">
        <f t="shared" si="7"/>
        <v>1989</v>
      </c>
    </row>
    <row r="27" spans="1:16" x14ac:dyDescent="0.25">
      <c r="A27">
        <v>22</v>
      </c>
      <c r="B27">
        <f t="shared" si="12"/>
        <v>-7.0967741935483941E-2</v>
      </c>
      <c r="C27">
        <f t="shared" si="8"/>
        <v>-0.63870967741935503</v>
      </c>
      <c r="D27">
        <f t="shared" si="3"/>
        <v>0.66501209399757455</v>
      </c>
      <c r="E27">
        <f t="shared" si="9"/>
        <v>43582</v>
      </c>
      <c r="F27">
        <f t="shared" si="10"/>
        <v>0.665008544921875</v>
      </c>
      <c r="G27" s="2">
        <f t="shared" si="13"/>
        <v>29.925544229890853</v>
      </c>
      <c r="H27" s="3">
        <f t="shared" si="13"/>
        <v>278.64006738498375</v>
      </c>
      <c r="I27">
        <f t="shared" si="5"/>
        <v>35666</v>
      </c>
      <c r="J27" s="3">
        <f t="shared" si="11"/>
        <v>4.1563034057617188</v>
      </c>
      <c r="K27">
        <f t="shared" si="0"/>
        <v>532</v>
      </c>
      <c r="L27">
        <f t="shared" si="1"/>
        <v>6649</v>
      </c>
      <c r="M27">
        <f t="shared" si="2"/>
        <v>6946</v>
      </c>
      <c r="N27">
        <f t="shared" si="6"/>
        <v>3895</v>
      </c>
      <c r="O27">
        <f t="shared" si="7"/>
        <v>1947.5</v>
      </c>
    </row>
    <row r="28" spans="1:16" x14ac:dyDescent="0.25">
      <c r="A28">
        <v>23</v>
      </c>
      <c r="B28">
        <f t="shared" si="12"/>
        <v>-7.0967741935483941E-2</v>
      </c>
      <c r="C28">
        <f t="shared" si="8"/>
        <v>-0.56774193548387109</v>
      </c>
      <c r="D28">
        <f t="shared" si="3"/>
        <v>0.72445842352501155</v>
      </c>
      <c r="E28">
        <f t="shared" si="9"/>
        <v>47477</v>
      </c>
      <c r="F28">
        <f t="shared" si="10"/>
        <v>0.7244415283203125</v>
      </c>
      <c r="G28" s="2">
        <f t="shared" si="13"/>
        <v>32.600629058625522</v>
      </c>
      <c r="H28" s="3">
        <f t="shared" si="13"/>
        <v>303.54807945697985</v>
      </c>
      <c r="I28">
        <f t="shared" si="5"/>
        <v>38854</v>
      </c>
      <c r="J28" s="3">
        <f t="shared" si="11"/>
        <v>4.5277595520019531</v>
      </c>
      <c r="K28">
        <f t="shared" si="0"/>
        <v>580</v>
      </c>
      <c r="L28">
        <f t="shared" si="1"/>
        <v>7243</v>
      </c>
      <c r="M28">
        <f t="shared" si="2"/>
        <v>7527</v>
      </c>
      <c r="N28">
        <f t="shared" si="6"/>
        <v>3726</v>
      </c>
      <c r="O28">
        <f t="shared" si="7"/>
        <v>1863</v>
      </c>
    </row>
    <row r="29" spans="1:16" x14ac:dyDescent="0.25">
      <c r="A29">
        <v>24</v>
      </c>
      <c r="B29">
        <f t="shared" si="12"/>
        <v>-7.0967741935483719E-2</v>
      </c>
      <c r="C29">
        <f t="shared" si="8"/>
        <v>-0.49677419354838737</v>
      </c>
      <c r="D29">
        <f t="shared" si="3"/>
        <v>0.78130896984722897</v>
      </c>
      <c r="E29">
        <f t="shared" si="9"/>
        <v>51203</v>
      </c>
      <c r="F29">
        <f t="shared" si="10"/>
        <v>0.7812957763671875</v>
      </c>
      <c r="G29" s="2">
        <f t="shared" si="13"/>
        <v>35.158903643125306</v>
      </c>
      <c r="H29" s="3">
        <f t="shared" si="13"/>
        <v>327.36845836598894</v>
      </c>
      <c r="I29">
        <f t="shared" si="5"/>
        <v>41903</v>
      </c>
      <c r="J29" s="3">
        <f t="shared" si="11"/>
        <v>4.8830986022949219</v>
      </c>
      <c r="K29">
        <f t="shared" si="0"/>
        <v>625</v>
      </c>
      <c r="L29">
        <f t="shared" si="1"/>
        <v>7811</v>
      </c>
      <c r="M29">
        <f t="shared" si="2"/>
        <v>8076</v>
      </c>
      <c r="N29">
        <f t="shared" si="6"/>
        <v>3465</v>
      </c>
      <c r="O29">
        <f t="shared" si="7"/>
        <v>1732.5</v>
      </c>
    </row>
    <row r="30" spans="1:16" x14ac:dyDescent="0.25">
      <c r="A30">
        <v>25</v>
      </c>
      <c r="B30">
        <f t="shared" si="12"/>
        <v>-7.0967741935483941E-2</v>
      </c>
      <c r="C30">
        <f t="shared" si="8"/>
        <v>-0.42580645161290342</v>
      </c>
      <c r="D30">
        <f t="shared" si="3"/>
        <v>0.83417577767302686</v>
      </c>
      <c r="E30">
        <f t="shared" si="9"/>
        <v>54668</v>
      </c>
      <c r="F30">
        <f t="shared" si="10"/>
        <v>0.83416748046875</v>
      </c>
      <c r="G30" s="2">
        <f t="shared" si="13"/>
        <v>37.537909995286206</v>
      </c>
      <c r="H30" s="3">
        <f t="shared" si="13"/>
        <v>349.51965084499824</v>
      </c>
      <c r="I30">
        <f t="shared" si="5"/>
        <v>44739</v>
      </c>
      <c r="J30" s="3">
        <f t="shared" si="11"/>
        <v>5.2135467529296875</v>
      </c>
      <c r="K30">
        <f t="shared" si="0"/>
        <v>667</v>
      </c>
      <c r="L30">
        <f t="shared" si="1"/>
        <v>8340</v>
      </c>
      <c r="M30">
        <f t="shared" si="2"/>
        <v>8578</v>
      </c>
      <c r="N30">
        <f t="shared" si="6"/>
        <v>3114</v>
      </c>
      <c r="O30">
        <f t="shared" si="7"/>
        <v>1557</v>
      </c>
    </row>
    <row r="31" spans="1:16" x14ac:dyDescent="0.25">
      <c r="A31">
        <v>26</v>
      </c>
      <c r="B31">
        <f t="shared" si="12"/>
        <v>-7.0967741935483941E-2</v>
      </c>
      <c r="C31">
        <f t="shared" si="8"/>
        <v>-0.35483870967741948</v>
      </c>
      <c r="D31">
        <f t="shared" si="3"/>
        <v>0.88169374612727092</v>
      </c>
      <c r="E31">
        <f t="shared" si="9"/>
        <v>57782</v>
      </c>
      <c r="F31">
        <f t="shared" si="10"/>
        <v>0.881683349609375</v>
      </c>
      <c r="G31" s="2">
        <f t="shared" si="13"/>
        <v>39.676218575727191</v>
      </c>
      <c r="H31" s="3">
        <f t="shared" si="13"/>
        <v>369.42967962732649</v>
      </c>
      <c r="I31">
        <f t="shared" si="5"/>
        <v>47287</v>
      </c>
      <c r="J31" s="3">
        <f t="shared" si="11"/>
        <v>5.5105209350585938</v>
      </c>
      <c r="K31">
        <f t="shared" si="0"/>
        <v>705</v>
      </c>
      <c r="L31">
        <f t="shared" si="1"/>
        <v>8815</v>
      </c>
      <c r="M31">
        <f t="shared" si="2"/>
        <v>9020</v>
      </c>
      <c r="N31">
        <f t="shared" si="6"/>
        <v>2679</v>
      </c>
      <c r="O31">
        <f t="shared" si="7"/>
        <v>1339.5</v>
      </c>
    </row>
    <row r="32" spans="1:16" x14ac:dyDescent="0.25">
      <c r="A32">
        <v>27</v>
      </c>
      <c r="B32">
        <f t="shared" si="12"/>
        <v>-7.0967741935483941E-2</v>
      </c>
      <c r="C32">
        <f t="shared" si="8"/>
        <v>-0.28387096774193554</v>
      </c>
      <c r="D32">
        <f t="shared" si="3"/>
        <v>0.92257857888980599</v>
      </c>
      <c r="E32">
        <f t="shared" si="9"/>
        <v>60461</v>
      </c>
      <c r="F32">
        <f t="shared" si="10"/>
        <v>0.9225616455078125</v>
      </c>
      <c r="G32" s="2">
        <f t="shared" si="13"/>
        <v>41.516036050041272</v>
      </c>
      <c r="H32" s="3">
        <f t="shared" si="13"/>
        <v>386.56042455482873</v>
      </c>
      <c r="I32">
        <f t="shared" si="5"/>
        <v>49480</v>
      </c>
      <c r="J32" s="3">
        <f t="shared" si="11"/>
        <v>5.7660102844238281</v>
      </c>
      <c r="K32">
        <f t="shared" si="0"/>
        <v>738</v>
      </c>
      <c r="L32">
        <f t="shared" si="1"/>
        <v>9224</v>
      </c>
      <c r="M32">
        <f t="shared" si="2"/>
        <v>9390</v>
      </c>
      <c r="N32">
        <f t="shared" si="6"/>
        <v>2170</v>
      </c>
      <c r="O32">
        <f t="shared" si="7"/>
        <v>1085</v>
      </c>
    </row>
    <row r="33" spans="1:18" x14ac:dyDescent="0.25">
      <c r="A33">
        <v>28</v>
      </c>
      <c r="B33">
        <f t="shared" si="12"/>
        <v>-7.0967741935483719E-2</v>
      </c>
      <c r="C33">
        <f t="shared" si="8"/>
        <v>-0.21290322580645182</v>
      </c>
      <c r="D33">
        <f t="shared" si="3"/>
        <v>0.95568417292786667</v>
      </c>
      <c r="E33">
        <f t="shared" si="9"/>
        <v>62631</v>
      </c>
      <c r="F33">
        <f t="shared" si="10"/>
        <v>0.9556732177734375</v>
      </c>
      <c r="G33" s="2">
        <f t="shared" si="13"/>
        <v>43.005787781754002</v>
      </c>
      <c r="H33" s="3">
        <f t="shared" si="13"/>
        <v>400.43166845677615</v>
      </c>
      <c r="I33">
        <f t="shared" si="5"/>
        <v>51255</v>
      </c>
      <c r="J33" s="3">
        <f t="shared" si="11"/>
        <v>5.9729576110839844</v>
      </c>
      <c r="K33">
        <f t="shared" si="0"/>
        <v>765</v>
      </c>
      <c r="L33">
        <f t="shared" si="1"/>
        <v>9555</v>
      </c>
      <c r="M33">
        <f t="shared" si="2"/>
        <v>9677</v>
      </c>
      <c r="N33">
        <f t="shared" si="6"/>
        <v>1597</v>
      </c>
      <c r="O33">
        <f t="shared" si="7"/>
        <v>798.5</v>
      </c>
    </row>
    <row r="34" spans="1:18" x14ac:dyDescent="0.25">
      <c r="A34">
        <v>29</v>
      </c>
      <c r="B34">
        <f t="shared" si="12"/>
        <v>-7.0967741935483941E-2</v>
      </c>
      <c r="C34">
        <f t="shared" si="8"/>
        <v>-0.14193548387096788</v>
      </c>
      <c r="D34">
        <f t="shared" si="3"/>
        <v>0.98005588681459521</v>
      </c>
      <c r="E34">
        <f t="shared" si="9"/>
        <v>64228</v>
      </c>
      <c r="F34">
        <f t="shared" si="10"/>
        <v>0.98004150390625</v>
      </c>
      <c r="G34" s="2">
        <f t="shared" si="13"/>
        <v>44.102514906656786</v>
      </c>
      <c r="H34" s="3">
        <f t="shared" si="13"/>
        <v>410.64341657531537</v>
      </c>
      <c r="I34">
        <f t="shared" si="5"/>
        <v>52562</v>
      </c>
      <c r="J34" s="3">
        <f t="shared" si="11"/>
        <v>6.1252593994140625</v>
      </c>
      <c r="K34">
        <f t="shared" si="0"/>
        <v>784</v>
      </c>
      <c r="L34">
        <f t="shared" si="1"/>
        <v>9798</v>
      </c>
      <c r="M34">
        <f t="shared" si="2"/>
        <v>9873</v>
      </c>
      <c r="N34">
        <f t="shared" si="6"/>
        <v>978</v>
      </c>
      <c r="O34">
        <f t="shared" si="7"/>
        <v>489</v>
      </c>
    </row>
    <row r="35" spans="1:18" x14ac:dyDescent="0.25">
      <c r="A35">
        <v>30</v>
      </c>
      <c r="B35">
        <f t="shared" si="12"/>
        <v>-7.0967741935483719E-2</v>
      </c>
      <c r="C35">
        <f t="shared" si="8"/>
        <v>-7.0967741935484163E-2</v>
      </c>
      <c r="D35">
        <f t="shared" si="3"/>
        <v>0.99497624110464755</v>
      </c>
      <c r="E35">
        <f t="shared" si="9"/>
        <v>65206</v>
      </c>
      <c r="F35">
        <f t="shared" si="10"/>
        <v>0.994964599609375</v>
      </c>
      <c r="G35" s="2">
        <f t="shared" si="13"/>
        <v>44.773930849709139</v>
      </c>
      <c r="H35" s="3">
        <f t="shared" si="13"/>
        <v>416.89504502284734</v>
      </c>
      <c r="I35">
        <f t="shared" si="5"/>
        <v>53363</v>
      </c>
      <c r="J35" s="3">
        <f t="shared" si="11"/>
        <v>6.2185287475585938</v>
      </c>
      <c r="K35">
        <f t="shared" si="0"/>
        <v>796</v>
      </c>
      <c r="L35">
        <f t="shared" si="1"/>
        <v>9948</v>
      </c>
      <c r="M35">
        <f t="shared" si="2"/>
        <v>9973</v>
      </c>
      <c r="N35">
        <f t="shared" si="6"/>
        <v>329</v>
      </c>
      <c r="O35">
        <f t="shared" si="7"/>
        <v>164.5</v>
      </c>
    </row>
    <row r="36" spans="1:18" x14ac:dyDescent="0.25">
      <c r="A36">
        <v>31</v>
      </c>
      <c r="B36">
        <f t="shared" si="12"/>
        <v>-7.0967741935484163E-2</v>
      </c>
      <c r="C36">
        <f t="shared" si="8"/>
        <v>0</v>
      </c>
      <c r="D36">
        <f t="shared" si="3"/>
        <v>1</v>
      </c>
      <c r="E36">
        <f t="shared" si="9"/>
        <v>65535</v>
      </c>
      <c r="F36">
        <f t="shared" si="10"/>
        <v>0.9999847412109375</v>
      </c>
      <c r="G36" s="2">
        <f t="shared" si="13"/>
        <v>45</v>
      </c>
      <c r="H36" s="3">
        <f t="shared" si="13"/>
        <v>419</v>
      </c>
      <c r="I36">
        <f t="shared" si="5"/>
        <v>53632</v>
      </c>
      <c r="J36" s="3">
        <f t="shared" si="11"/>
        <v>6.2499046325683594</v>
      </c>
      <c r="K36">
        <f t="shared" si="0"/>
        <v>800</v>
      </c>
      <c r="L36">
        <f t="shared" si="1"/>
        <v>9998</v>
      </c>
      <c r="M36">
        <f t="shared" si="2"/>
        <v>4999</v>
      </c>
    </row>
    <row r="37" spans="1:18" x14ac:dyDescent="0.25">
      <c r="G37" s="2"/>
      <c r="H37" s="3"/>
      <c r="J37" s="3"/>
    </row>
    <row r="39" spans="1:18" x14ac:dyDescent="0.25">
      <c r="A39" t="s">
        <v>5</v>
      </c>
    </row>
    <row r="40" spans="1:18" x14ac:dyDescent="0.25">
      <c r="A40" t="s">
        <v>4</v>
      </c>
      <c r="B40">
        <v>8</v>
      </c>
      <c r="C40">
        <v>-2.2000000000000002</v>
      </c>
      <c r="G40" t="s">
        <v>2</v>
      </c>
      <c r="H40" t="s">
        <v>2</v>
      </c>
      <c r="I40" t="s">
        <v>2</v>
      </c>
    </row>
    <row r="41" spans="1:18" x14ac:dyDescent="0.25">
      <c r="A41" t="s">
        <v>3</v>
      </c>
      <c r="C41" t="s">
        <v>0</v>
      </c>
      <c r="D41" t="s">
        <v>1</v>
      </c>
      <c r="G41">
        <v>62.49</v>
      </c>
      <c r="H41">
        <v>20.83</v>
      </c>
      <c r="I41">
        <v>41.66</v>
      </c>
      <c r="P41">
        <v>0</v>
      </c>
      <c r="Q41" s="1">
        <v>0</v>
      </c>
      <c r="R41" s="2">
        <v>0</v>
      </c>
    </row>
    <row r="42" spans="1:18" x14ac:dyDescent="0.25">
      <c r="A42">
        <v>0</v>
      </c>
      <c r="C42">
        <f t="shared" ref="C42:C50" si="14">C$40+A42*(-C$2/B$40)</f>
        <v>-2.2000000000000002</v>
      </c>
      <c r="D42">
        <f t="shared" ref="D42:D49" si="15">EXP(-(C42^2))</f>
        <v>7.9070540515934346E-3</v>
      </c>
      <c r="G42" s="2">
        <f t="shared" ref="G42:H49" si="16">G$41*$D42</f>
        <v>0.49411180768407376</v>
      </c>
      <c r="H42" s="2">
        <f t="shared" si="16"/>
        <v>0.16470393589469123</v>
      </c>
      <c r="I42" s="2">
        <f t="shared" ref="I42:I49" si="17">I$41*$D42</f>
        <v>0.32940787178938247</v>
      </c>
      <c r="J42" s="2"/>
      <c r="P42">
        <v>1</v>
      </c>
      <c r="Q42" s="1">
        <f>P42*20.83</f>
        <v>20.83</v>
      </c>
      <c r="R42" s="2">
        <v>20.83</v>
      </c>
    </row>
    <row r="43" spans="1:18" x14ac:dyDescent="0.25">
      <c r="A43">
        <v>1</v>
      </c>
      <c r="B43">
        <f>C42-C43</f>
        <v>-0.27499999999999991</v>
      </c>
      <c r="C43">
        <f t="shared" si="14"/>
        <v>-1.9250000000000003</v>
      </c>
      <c r="D43">
        <f t="shared" si="15"/>
        <v>2.4584847035512634E-2</v>
      </c>
      <c r="G43" s="2">
        <f t="shared" si="16"/>
        <v>1.5363070912491845</v>
      </c>
      <c r="H43" s="2">
        <f t="shared" si="16"/>
        <v>0.51210236374972817</v>
      </c>
      <c r="I43" s="2">
        <f t="shared" si="17"/>
        <v>1.0242047274994563</v>
      </c>
      <c r="J43" s="2"/>
      <c r="P43">
        <v>2</v>
      </c>
      <c r="Q43" s="1">
        <f t="shared" ref="Q43:Q44" si="18">P43*20.83</f>
        <v>41.66</v>
      </c>
      <c r="R43" s="2">
        <v>41.66</v>
      </c>
    </row>
    <row r="44" spans="1:18" x14ac:dyDescent="0.25">
      <c r="A44">
        <v>2</v>
      </c>
      <c r="B44">
        <f t="shared" ref="B44:B50" si="19">C43-C44</f>
        <v>-0.27500000000000013</v>
      </c>
      <c r="C44">
        <f t="shared" si="14"/>
        <v>-1.6500000000000001</v>
      </c>
      <c r="D44">
        <f t="shared" si="15"/>
        <v>6.5710273227502822E-2</v>
      </c>
      <c r="G44" s="2">
        <f t="shared" si="16"/>
        <v>4.106234973986651</v>
      </c>
      <c r="H44" s="2">
        <f t="shared" si="16"/>
        <v>1.3687449913288836</v>
      </c>
      <c r="I44" s="2">
        <f t="shared" si="17"/>
        <v>2.7374899826577672</v>
      </c>
      <c r="J44" s="2"/>
      <c r="P44">
        <v>3</v>
      </c>
      <c r="Q44" s="1">
        <f t="shared" si="18"/>
        <v>62.489999999999995</v>
      </c>
      <c r="R44" s="2">
        <v>62.489999999999995</v>
      </c>
    </row>
    <row r="45" spans="1:18" x14ac:dyDescent="0.25">
      <c r="A45">
        <v>3</v>
      </c>
      <c r="B45">
        <f t="shared" si="19"/>
        <v>-0.27500000000000013</v>
      </c>
      <c r="C45">
        <f t="shared" si="14"/>
        <v>-1.375</v>
      </c>
      <c r="D45">
        <f t="shared" si="15"/>
        <v>0.15097741845591461</v>
      </c>
      <c r="G45" s="2">
        <f t="shared" si="16"/>
        <v>9.434578879310104</v>
      </c>
      <c r="H45" s="2">
        <f t="shared" si="16"/>
        <v>3.144859626436701</v>
      </c>
      <c r="I45" s="2">
        <f t="shared" si="17"/>
        <v>6.2897192528734021</v>
      </c>
      <c r="J45" s="2"/>
      <c r="Q45" s="1"/>
      <c r="R45" s="2"/>
    </row>
    <row r="46" spans="1:18" x14ac:dyDescent="0.25">
      <c r="A46">
        <v>4</v>
      </c>
      <c r="B46">
        <f t="shared" si="19"/>
        <v>-0.27499999999999991</v>
      </c>
      <c r="C46">
        <f t="shared" si="14"/>
        <v>-1.1000000000000001</v>
      </c>
      <c r="D46">
        <f t="shared" si="15"/>
        <v>0.29819727942988733</v>
      </c>
      <c r="G46" s="2">
        <f t="shared" si="16"/>
        <v>18.634347991573659</v>
      </c>
      <c r="H46" s="2">
        <f t="shared" si="16"/>
        <v>6.2114493305245526</v>
      </c>
      <c r="I46" s="2">
        <f t="shared" si="17"/>
        <v>12.422898661049105</v>
      </c>
      <c r="J46" s="2"/>
      <c r="Q46" s="1"/>
      <c r="R46" s="2"/>
    </row>
    <row r="47" spans="1:18" x14ac:dyDescent="0.25">
      <c r="A47">
        <v>5</v>
      </c>
      <c r="B47">
        <f t="shared" si="19"/>
        <v>-0.27499999999999991</v>
      </c>
      <c r="C47">
        <f t="shared" si="14"/>
        <v>-0.82500000000000018</v>
      </c>
      <c r="D47">
        <f t="shared" si="15"/>
        <v>0.50630045567338122</v>
      </c>
      <c r="G47" s="2">
        <f t="shared" si="16"/>
        <v>31.638715475029592</v>
      </c>
      <c r="H47" s="2">
        <f t="shared" si="16"/>
        <v>10.546238491676529</v>
      </c>
      <c r="I47" s="2">
        <f t="shared" si="17"/>
        <v>21.092476983353059</v>
      </c>
      <c r="J47" s="2"/>
      <c r="Q47" s="1"/>
      <c r="R47" s="2"/>
    </row>
    <row r="48" spans="1:18" x14ac:dyDescent="0.25">
      <c r="A48">
        <v>6</v>
      </c>
      <c r="B48">
        <f t="shared" si="19"/>
        <v>-0.27500000000000013</v>
      </c>
      <c r="C48">
        <f t="shared" si="14"/>
        <v>-0.55000000000000004</v>
      </c>
      <c r="D48">
        <f t="shared" si="15"/>
        <v>0.73896848825894423</v>
      </c>
      <c r="G48" s="2">
        <f t="shared" si="16"/>
        <v>46.178140831301427</v>
      </c>
      <c r="H48" s="2">
        <f t="shared" si="16"/>
        <v>15.392713610433807</v>
      </c>
      <c r="I48" s="2">
        <f t="shared" si="17"/>
        <v>30.785427220867614</v>
      </c>
      <c r="J48" s="2"/>
      <c r="Q48" s="1"/>
      <c r="R48" s="2"/>
    </row>
    <row r="49" spans="1:10" x14ac:dyDescent="0.25">
      <c r="A49">
        <v>7</v>
      </c>
      <c r="B49">
        <f t="shared" si="19"/>
        <v>-0.27500000000000013</v>
      </c>
      <c r="C49">
        <f t="shared" si="14"/>
        <v>-0.27499999999999991</v>
      </c>
      <c r="D49">
        <f t="shared" si="15"/>
        <v>0.92716382781175322</v>
      </c>
      <c r="G49" s="2">
        <f t="shared" si="16"/>
        <v>57.938467599956461</v>
      </c>
      <c r="H49" s="2">
        <f t="shared" si="16"/>
        <v>19.312822533318819</v>
      </c>
      <c r="I49" s="2">
        <f t="shared" si="17"/>
        <v>38.625645066637638</v>
      </c>
      <c r="J49" s="2"/>
    </row>
    <row r="50" spans="1:10" x14ac:dyDescent="0.25">
      <c r="A50">
        <v>8</v>
      </c>
      <c r="B50">
        <f t="shared" si="19"/>
        <v>-0.27499999999999991</v>
      </c>
      <c r="C50">
        <f t="shared" si="14"/>
        <v>0</v>
      </c>
      <c r="D50">
        <f t="shared" ref="D50" si="20">EXP(-(C50^2))</f>
        <v>1</v>
      </c>
      <c r="F50" s="2"/>
      <c r="G50" s="2"/>
      <c r="H50" s="2"/>
      <c r="J50" s="2"/>
    </row>
    <row r="51" spans="1:10" x14ac:dyDescent="0.25">
      <c r="F51" s="2"/>
      <c r="G51" s="2"/>
      <c r="H51" s="2"/>
      <c r="J51" s="2"/>
    </row>
    <row r="52" spans="1:10" x14ac:dyDescent="0.25">
      <c r="F52" s="2"/>
      <c r="G52" s="2"/>
      <c r="H52" s="2"/>
      <c r="J52" s="2"/>
    </row>
    <row r="53" spans="1:10" x14ac:dyDescent="0.25">
      <c r="B53">
        <f>2.2/B40</f>
        <v>0.27500000000000002</v>
      </c>
      <c r="F53" s="2"/>
      <c r="G53" s="2"/>
      <c r="H53" s="2"/>
      <c r="J53" s="2"/>
    </row>
    <row r="54" spans="1:10" x14ac:dyDescent="0.25">
      <c r="F54" s="2"/>
      <c r="G54" s="2"/>
      <c r="H54" s="2"/>
      <c r="J54" s="2"/>
    </row>
    <row r="55" spans="1:10" x14ac:dyDescent="0.25">
      <c r="F55" s="2"/>
      <c r="G55" s="2"/>
      <c r="H55" s="2"/>
      <c r="J55" s="2"/>
    </row>
    <row r="56" spans="1:10" x14ac:dyDescent="0.25">
      <c r="F56" s="2"/>
      <c r="G56" s="2"/>
      <c r="H56" s="2"/>
      <c r="J56" s="2"/>
    </row>
    <row r="57" spans="1:10" x14ac:dyDescent="0.25">
      <c r="F57" s="2"/>
      <c r="G57" s="2"/>
      <c r="H57" s="2"/>
      <c r="J57" s="2"/>
    </row>
    <row r="58" spans="1:10" x14ac:dyDescent="0.25">
      <c r="F58" s="2"/>
      <c r="G58" s="2"/>
      <c r="H58" s="2"/>
      <c r="J58" s="2"/>
    </row>
    <row r="59" spans="1:10" x14ac:dyDescent="0.25">
      <c r="F59" s="2"/>
      <c r="G59" s="2"/>
      <c r="H59" s="2"/>
      <c r="J59" s="2"/>
    </row>
    <row r="60" spans="1:10" x14ac:dyDescent="0.25">
      <c r="F60" s="2"/>
      <c r="G60" s="2"/>
      <c r="H60" s="2"/>
      <c r="J60" s="2"/>
    </row>
    <row r="61" spans="1:10" x14ac:dyDescent="0.25">
      <c r="F61" s="2"/>
      <c r="G61" s="2"/>
      <c r="H61" s="2"/>
      <c r="J61" s="2"/>
    </row>
    <row r="62" spans="1:10" x14ac:dyDescent="0.25">
      <c r="F62" s="2"/>
      <c r="G62" s="2"/>
      <c r="H62" s="2"/>
      <c r="J62" s="2"/>
    </row>
    <row r="63" spans="1:10" x14ac:dyDescent="0.25">
      <c r="F63" s="2"/>
      <c r="G63" s="2"/>
      <c r="H63" s="2"/>
      <c r="J63" s="2"/>
    </row>
    <row r="64" spans="1:10" x14ac:dyDescent="0.25">
      <c r="F64" s="2"/>
      <c r="G64" s="2"/>
      <c r="H64" s="2"/>
      <c r="J64" s="2"/>
    </row>
    <row r="65" spans="1:18" x14ac:dyDescent="0.25">
      <c r="F65" s="2"/>
      <c r="G65" s="2"/>
      <c r="H65" s="2"/>
      <c r="J65" s="2"/>
    </row>
    <row r="66" spans="1:18" x14ac:dyDescent="0.25">
      <c r="F66" s="2"/>
      <c r="G66" s="2"/>
      <c r="H66" s="2"/>
      <c r="J66" s="2"/>
    </row>
    <row r="67" spans="1:18" x14ac:dyDescent="0.25">
      <c r="A67" t="s">
        <v>5</v>
      </c>
    </row>
    <row r="68" spans="1:18" x14ac:dyDescent="0.25">
      <c r="A68" t="s">
        <v>4</v>
      </c>
      <c r="B68">
        <v>16</v>
      </c>
      <c r="C68">
        <v>-2.2000000000000002</v>
      </c>
      <c r="G68" t="s">
        <v>2</v>
      </c>
      <c r="H68" t="s">
        <v>2</v>
      </c>
      <c r="I68" t="s">
        <v>2</v>
      </c>
      <c r="P68" t="s">
        <v>7</v>
      </c>
    </row>
    <row r="69" spans="1:18" x14ac:dyDescent="0.25">
      <c r="A69" t="s">
        <v>3</v>
      </c>
      <c r="C69" t="s">
        <v>0</v>
      </c>
      <c r="D69" t="s">
        <v>1</v>
      </c>
      <c r="G69">
        <v>62.49</v>
      </c>
      <c r="H69">
        <v>20.83</v>
      </c>
      <c r="I69">
        <v>41.66</v>
      </c>
      <c r="P69">
        <v>0</v>
      </c>
      <c r="Q69" s="1">
        <v>0</v>
      </c>
      <c r="R69" s="2">
        <v>0</v>
      </c>
    </row>
    <row r="70" spans="1:18" x14ac:dyDescent="0.25">
      <c r="A70">
        <v>0</v>
      </c>
      <c r="C70">
        <f t="shared" ref="C70:C78" si="21">C$68+A70*(-C$2/B$68)</f>
        <v>-2.2000000000000002</v>
      </c>
      <c r="D70">
        <f t="shared" ref="D70:D78" si="22">EXP(-(C70^2))</f>
        <v>7.9070540515934346E-3</v>
      </c>
      <c r="G70" s="2">
        <f>G$41*$D70</f>
        <v>0.49411180768407376</v>
      </c>
      <c r="H70" s="2">
        <f t="shared" ref="H70:H85" si="23">H$41*$D70</f>
        <v>0.16470393589469123</v>
      </c>
      <c r="I70" s="2">
        <f t="shared" ref="I70:I86" si="24">I$41*$D70</f>
        <v>0.32940787178938247</v>
      </c>
      <c r="J70" s="2"/>
      <c r="P70">
        <v>1</v>
      </c>
      <c r="Q70" s="1">
        <f>P70*20.83</f>
        <v>20.83</v>
      </c>
      <c r="R70" s="2">
        <v>20.83</v>
      </c>
    </row>
    <row r="71" spans="1:18" x14ac:dyDescent="0.25">
      <c r="A71">
        <v>1</v>
      </c>
      <c r="B71">
        <f>C70-C71</f>
        <v>-0.13750000000000018</v>
      </c>
      <c r="C71">
        <f t="shared" si="21"/>
        <v>-2.0625</v>
      </c>
      <c r="D71">
        <f t="shared" si="22"/>
        <v>1.4208622931196246E-2</v>
      </c>
      <c r="G71" s="2">
        <f t="shared" ref="G71:H86" si="25">G$41*$D71</f>
        <v>0.88789684697045346</v>
      </c>
      <c r="H71" s="2">
        <f t="shared" si="23"/>
        <v>0.29596561565681778</v>
      </c>
      <c r="I71" s="2">
        <f t="shared" si="24"/>
        <v>0.59193123131363556</v>
      </c>
      <c r="J71" s="2"/>
      <c r="P71">
        <v>2</v>
      </c>
      <c r="Q71" s="1">
        <f t="shared" ref="Q71:Q72" si="26">P71*20.83</f>
        <v>41.66</v>
      </c>
      <c r="R71" s="2">
        <v>41.66</v>
      </c>
    </row>
    <row r="72" spans="1:18" x14ac:dyDescent="0.25">
      <c r="A72">
        <v>2</v>
      </c>
      <c r="B72">
        <f t="shared" ref="B72:B78" si="27">C71-C72</f>
        <v>-0.13749999999999973</v>
      </c>
      <c r="C72">
        <f t="shared" si="21"/>
        <v>-1.9250000000000003</v>
      </c>
      <c r="D72">
        <f t="shared" si="22"/>
        <v>2.4584847035512634E-2</v>
      </c>
      <c r="G72" s="2">
        <f t="shared" si="25"/>
        <v>1.5363070912491845</v>
      </c>
      <c r="H72" s="2">
        <f t="shared" si="23"/>
        <v>0.51210236374972817</v>
      </c>
      <c r="I72" s="2">
        <f t="shared" si="24"/>
        <v>1.0242047274994563</v>
      </c>
      <c r="J72" s="2"/>
      <c r="P72">
        <v>3</v>
      </c>
      <c r="Q72" s="1">
        <f t="shared" si="26"/>
        <v>62.489999999999995</v>
      </c>
      <c r="R72" s="2">
        <v>62.489999999999995</v>
      </c>
    </row>
    <row r="73" spans="1:18" x14ac:dyDescent="0.25">
      <c r="A73">
        <v>3</v>
      </c>
      <c r="B73">
        <f t="shared" si="27"/>
        <v>-0.13750000000000018</v>
      </c>
      <c r="C73">
        <f t="shared" si="21"/>
        <v>-1.7875000000000001</v>
      </c>
      <c r="D73">
        <f t="shared" si="22"/>
        <v>4.0960124856546529E-2</v>
      </c>
      <c r="G73" s="2">
        <f t="shared" si="25"/>
        <v>2.5595982022855925</v>
      </c>
      <c r="H73" s="2">
        <f t="shared" si="23"/>
        <v>0.85319940076186407</v>
      </c>
      <c r="I73" s="2">
        <f t="shared" si="24"/>
        <v>1.7063988015237281</v>
      </c>
      <c r="J73" s="2"/>
      <c r="Q73" s="1"/>
      <c r="R73" s="2"/>
    </row>
    <row r="74" spans="1:18" x14ac:dyDescent="0.25">
      <c r="A74">
        <v>4</v>
      </c>
      <c r="B74">
        <f t="shared" si="27"/>
        <v>-0.13749999999999996</v>
      </c>
      <c r="C74">
        <f t="shared" si="21"/>
        <v>-1.6500000000000001</v>
      </c>
      <c r="D74">
        <f t="shared" si="22"/>
        <v>6.5710273227502822E-2</v>
      </c>
      <c r="G74" s="2">
        <f t="shared" si="25"/>
        <v>4.106234973986651</v>
      </c>
      <c r="H74" s="2">
        <f t="shared" si="23"/>
        <v>1.3687449913288836</v>
      </c>
      <c r="I74" s="2">
        <f t="shared" si="24"/>
        <v>2.7374899826577672</v>
      </c>
      <c r="J74" s="2"/>
      <c r="Q74" s="1"/>
      <c r="R74" s="2"/>
    </row>
    <row r="75" spans="1:18" x14ac:dyDescent="0.25">
      <c r="A75">
        <v>5</v>
      </c>
      <c r="B75">
        <f t="shared" si="27"/>
        <v>-0.13749999999999996</v>
      </c>
      <c r="C75">
        <f t="shared" si="21"/>
        <v>-1.5125000000000002</v>
      </c>
      <c r="D75">
        <f t="shared" si="22"/>
        <v>0.10150408347791953</v>
      </c>
      <c r="G75" s="2">
        <f t="shared" si="25"/>
        <v>6.3429901765351921</v>
      </c>
      <c r="H75" s="2">
        <f t="shared" si="23"/>
        <v>2.1143300588450638</v>
      </c>
      <c r="I75" s="2">
        <f t="shared" si="24"/>
        <v>4.2286601176901275</v>
      </c>
      <c r="J75" s="2"/>
      <c r="Q75" s="1"/>
      <c r="R75" s="2"/>
    </row>
    <row r="76" spans="1:18" x14ac:dyDescent="0.25">
      <c r="A76">
        <v>6</v>
      </c>
      <c r="B76">
        <f t="shared" si="27"/>
        <v>-0.13750000000000018</v>
      </c>
      <c r="C76">
        <f t="shared" si="21"/>
        <v>-1.375</v>
      </c>
      <c r="D76">
        <f t="shared" si="22"/>
        <v>0.15097741845591461</v>
      </c>
      <c r="G76" s="2">
        <f t="shared" si="25"/>
        <v>9.434578879310104</v>
      </c>
      <c r="H76" s="2">
        <f t="shared" si="23"/>
        <v>3.144859626436701</v>
      </c>
      <c r="I76" s="2">
        <f t="shared" si="24"/>
        <v>6.2897192528734021</v>
      </c>
      <c r="J76" s="2"/>
      <c r="Q76" s="1"/>
      <c r="R76" s="2"/>
    </row>
    <row r="77" spans="1:18" x14ac:dyDescent="0.25">
      <c r="A77">
        <v>7</v>
      </c>
      <c r="B77">
        <f t="shared" si="27"/>
        <v>-0.13749999999999996</v>
      </c>
      <c r="C77">
        <f t="shared" si="21"/>
        <v>-1.2375</v>
      </c>
      <c r="D77">
        <f t="shared" si="22"/>
        <v>0.21623137803738826</v>
      </c>
      <c r="G77" s="2">
        <f t="shared" si="25"/>
        <v>13.512298813556393</v>
      </c>
      <c r="H77" s="2">
        <f t="shared" si="23"/>
        <v>4.5040996045187969</v>
      </c>
      <c r="I77" s="2">
        <f t="shared" si="24"/>
        <v>9.0081992090375937</v>
      </c>
      <c r="J77" s="2"/>
    </row>
    <row r="78" spans="1:18" x14ac:dyDescent="0.25">
      <c r="A78">
        <v>8</v>
      </c>
      <c r="B78">
        <f t="shared" si="27"/>
        <v>-0.13749999999999996</v>
      </c>
      <c r="C78">
        <f t="shared" si="21"/>
        <v>-1.1000000000000001</v>
      </c>
      <c r="D78">
        <f t="shared" si="22"/>
        <v>0.29819727942988733</v>
      </c>
      <c r="F78" s="2"/>
      <c r="G78" s="2">
        <f t="shared" si="25"/>
        <v>18.634347991573659</v>
      </c>
      <c r="H78" s="2">
        <f t="shared" si="23"/>
        <v>6.2114493305245526</v>
      </c>
      <c r="I78" s="2">
        <f t="shared" si="24"/>
        <v>12.422898661049105</v>
      </c>
      <c r="J78" s="2"/>
    </row>
    <row r="79" spans="1:18" x14ac:dyDescent="0.25">
      <c r="A79">
        <v>9</v>
      </c>
      <c r="B79">
        <f t="shared" ref="B79:B86" si="28">C78-C79</f>
        <v>-0.13749999999999996</v>
      </c>
      <c r="C79">
        <f t="shared" ref="C79:C86" si="29">C$68+A79*(-C$2/B$68)</f>
        <v>-0.96250000000000013</v>
      </c>
      <c r="D79">
        <f t="shared" ref="D79:D86" si="30">EXP(-(C79^2))</f>
        <v>0.3959741886613819</v>
      </c>
      <c r="F79" s="2"/>
      <c r="G79" s="2">
        <f t="shared" si="25"/>
        <v>24.744427049449754</v>
      </c>
      <c r="H79" s="2">
        <f t="shared" si="23"/>
        <v>8.2481423498165842</v>
      </c>
      <c r="I79" s="2">
        <f t="shared" si="24"/>
        <v>16.496284699633168</v>
      </c>
      <c r="J79" s="2"/>
    </row>
    <row r="80" spans="1:18" x14ac:dyDescent="0.25">
      <c r="A80">
        <v>10</v>
      </c>
      <c r="B80">
        <f t="shared" si="28"/>
        <v>-0.13749999999999996</v>
      </c>
      <c r="C80">
        <f t="shared" si="29"/>
        <v>-0.82500000000000018</v>
      </c>
      <c r="D80">
        <f t="shared" si="30"/>
        <v>0.50630045567338122</v>
      </c>
      <c r="F80" s="2"/>
      <c r="G80" s="2">
        <f t="shared" si="25"/>
        <v>31.638715475029592</v>
      </c>
      <c r="H80" s="2">
        <f t="shared" si="23"/>
        <v>10.546238491676529</v>
      </c>
      <c r="I80" s="2">
        <f t="shared" si="24"/>
        <v>21.092476983353059</v>
      </c>
      <c r="J80" s="2"/>
    </row>
    <row r="81" spans="1:10" x14ac:dyDescent="0.25">
      <c r="A81">
        <v>11</v>
      </c>
      <c r="B81">
        <f t="shared" si="28"/>
        <v>-0.13750000000000018</v>
      </c>
      <c r="C81">
        <f t="shared" si="29"/>
        <v>-0.6875</v>
      </c>
      <c r="D81">
        <f t="shared" si="30"/>
        <v>0.62334430895963433</v>
      </c>
      <c r="F81" s="2"/>
      <c r="G81" s="2">
        <f t="shared" si="25"/>
        <v>38.952785866887552</v>
      </c>
      <c r="H81" s="2">
        <f t="shared" si="23"/>
        <v>12.984261955629181</v>
      </c>
      <c r="I81" s="2">
        <f t="shared" si="24"/>
        <v>25.968523911258362</v>
      </c>
      <c r="J81" s="2"/>
    </row>
    <row r="82" spans="1:10" x14ac:dyDescent="0.25">
      <c r="A82">
        <v>12</v>
      </c>
      <c r="B82">
        <f t="shared" si="28"/>
        <v>-0.13749999999999996</v>
      </c>
      <c r="C82">
        <f t="shared" si="29"/>
        <v>-0.55000000000000004</v>
      </c>
      <c r="D82">
        <f t="shared" si="30"/>
        <v>0.73896848825894423</v>
      </c>
      <c r="F82" s="2"/>
      <c r="G82" s="2">
        <f t="shared" si="25"/>
        <v>46.178140831301427</v>
      </c>
      <c r="H82" s="2">
        <f t="shared" si="23"/>
        <v>15.392713610433807</v>
      </c>
      <c r="I82" s="2">
        <f t="shared" si="24"/>
        <v>30.785427220867614</v>
      </c>
      <c r="J82" s="2"/>
    </row>
    <row r="83" spans="1:10" x14ac:dyDescent="0.25">
      <c r="A83">
        <v>13</v>
      </c>
      <c r="B83">
        <f t="shared" si="28"/>
        <v>-0.13749999999999996</v>
      </c>
      <c r="C83">
        <f t="shared" si="29"/>
        <v>-0.41250000000000009</v>
      </c>
      <c r="D83">
        <f t="shared" si="30"/>
        <v>0.84353300426689681</v>
      </c>
      <c r="F83" s="2"/>
      <c r="G83" s="2">
        <f t="shared" si="25"/>
        <v>52.712377436638384</v>
      </c>
      <c r="H83" s="2">
        <f t="shared" si="23"/>
        <v>17.570792478879458</v>
      </c>
      <c r="I83" s="2">
        <f t="shared" si="24"/>
        <v>35.141584957758916</v>
      </c>
      <c r="J83" s="2"/>
    </row>
    <row r="84" spans="1:10" x14ac:dyDescent="0.25">
      <c r="A84">
        <v>14</v>
      </c>
      <c r="B84">
        <f t="shared" si="28"/>
        <v>-0.13750000000000018</v>
      </c>
      <c r="C84">
        <f t="shared" si="29"/>
        <v>-0.27499999999999991</v>
      </c>
      <c r="D84">
        <f t="shared" si="30"/>
        <v>0.92716382781175322</v>
      </c>
      <c r="F84" s="2"/>
      <c r="G84" s="2">
        <f t="shared" si="25"/>
        <v>57.938467599956461</v>
      </c>
      <c r="H84" s="2">
        <f t="shared" si="23"/>
        <v>19.312822533318819</v>
      </c>
      <c r="I84" s="2">
        <f t="shared" si="24"/>
        <v>38.625645066637638</v>
      </c>
      <c r="J84" s="2"/>
    </row>
    <row r="85" spans="1:10" x14ac:dyDescent="0.25">
      <c r="A85">
        <v>15</v>
      </c>
      <c r="B85">
        <f t="shared" si="28"/>
        <v>-0.13749999999999973</v>
      </c>
      <c r="C85">
        <f t="shared" si="29"/>
        <v>-0.13750000000000018</v>
      </c>
      <c r="D85">
        <f t="shared" si="30"/>
        <v>0.98127135211997429</v>
      </c>
      <c r="F85" s="2"/>
      <c r="G85" s="2">
        <f t="shared" si="25"/>
        <v>61.319646793977192</v>
      </c>
      <c r="H85" s="2">
        <f t="shared" si="23"/>
        <v>20.439882264659062</v>
      </c>
      <c r="I85" s="2">
        <f t="shared" si="24"/>
        <v>40.879764529318123</v>
      </c>
      <c r="J85" s="2"/>
    </row>
    <row r="86" spans="1:10" x14ac:dyDescent="0.25">
      <c r="A86">
        <v>16</v>
      </c>
      <c r="B86">
        <f t="shared" si="28"/>
        <v>-0.13750000000000018</v>
      </c>
      <c r="C86">
        <f t="shared" si="29"/>
        <v>0</v>
      </c>
      <c r="D86">
        <f t="shared" si="30"/>
        <v>1</v>
      </c>
      <c r="F86" s="2"/>
      <c r="G86" s="2">
        <f t="shared" si="25"/>
        <v>62.49</v>
      </c>
      <c r="H86" s="2">
        <f t="shared" si="25"/>
        <v>20.83</v>
      </c>
      <c r="I86" s="2">
        <f t="shared" si="24"/>
        <v>41.66</v>
      </c>
      <c r="J86" s="2"/>
    </row>
    <row r="87" spans="1:10" x14ac:dyDescent="0.25">
      <c r="F87" s="2"/>
      <c r="G87" s="2"/>
      <c r="H87" s="2"/>
      <c r="J87" s="2"/>
    </row>
    <row r="88" spans="1:10" x14ac:dyDescent="0.25">
      <c r="F88" s="2"/>
      <c r="G88" s="2"/>
      <c r="H88" s="2"/>
      <c r="J88" s="2"/>
    </row>
    <row r="89" spans="1:10" x14ac:dyDescent="0.25">
      <c r="F89" s="2"/>
      <c r="G89" s="2"/>
      <c r="H89" s="2"/>
      <c r="J89" s="2"/>
    </row>
    <row r="90" spans="1:10" x14ac:dyDescent="0.25">
      <c r="F90" s="2"/>
      <c r="G90" s="2"/>
      <c r="H90" s="2"/>
      <c r="J90" s="2"/>
    </row>
    <row r="91" spans="1:10" x14ac:dyDescent="0.25">
      <c r="F91" s="2"/>
      <c r="G91" s="2"/>
      <c r="H91" s="2"/>
      <c r="J91" s="2"/>
    </row>
    <row r="92" spans="1:10" x14ac:dyDescent="0.25">
      <c r="F92" s="2"/>
      <c r="G92" s="2"/>
      <c r="H92" s="2"/>
      <c r="J9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Views>
    <sheetView workbookViewId="0">
      <selection activeCell="A33" sqref="A1:A1048576"/>
    </sheetView>
  </sheetViews>
  <sheetFormatPr defaultRowHeight="15" x14ac:dyDescent="0.25"/>
  <cols>
    <col min="22" max="22" width="13.7109375" customWidth="1"/>
  </cols>
  <sheetData>
    <row r="1" spans="1:18" x14ac:dyDescent="0.25">
      <c r="F1" t="s">
        <v>12</v>
      </c>
      <c r="G1">
        <f>6.25*7</f>
        <v>43.75</v>
      </c>
      <c r="I1">
        <f>180000000/2^32</f>
        <v>4.1909515857696533E-2</v>
      </c>
      <c r="K1">
        <f>G1/I1</f>
        <v>1043.9156622222222</v>
      </c>
      <c r="N1">
        <v>20.83333</v>
      </c>
      <c r="P1">
        <f>N1*3</f>
        <v>62.499989999999997</v>
      </c>
      <c r="R1">
        <f>P1/I1</f>
        <v>1491.3078502795945</v>
      </c>
    </row>
    <row r="2" spans="1:18" x14ac:dyDescent="0.25">
      <c r="A2" s="4">
        <v>1</v>
      </c>
      <c r="B2">
        <v>259</v>
      </c>
      <c r="C2">
        <v>259</v>
      </c>
      <c r="D2">
        <v>4</v>
      </c>
      <c r="F2">
        <f>D2*I$1</f>
        <v>0.16763806343078613</v>
      </c>
    </row>
    <row r="3" spans="1:18" x14ac:dyDescent="0.25">
      <c r="A3" s="4">
        <v>2</v>
      </c>
      <c r="B3">
        <v>518</v>
      </c>
      <c r="C3">
        <v>259</v>
      </c>
      <c r="D3">
        <v>8</v>
      </c>
      <c r="F3">
        <f t="shared" ref="F3:F65" si="0">D3*I$1</f>
        <v>0.33527612686157227</v>
      </c>
    </row>
    <row r="4" spans="1:18" x14ac:dyDescent="0.25">
      <c r="A4" s="4">
        <v>3</v>
      </c>
      <c r="B4">
        <v>611</v>
      </c>
      <c r="C4">
        <v>93</v>
      </c>
      <c r="D4">
        <v>10</v>
      </c>
      <c r="F4">
        <f t="shared" si="0"/>
        <v>0.41909515857696533</v>
      </c>
    </row>
    <row r="5" spans="1:18" x14ac:dyDescent="0.25">
      <c r="A5" s="4">
        <v>4</v>
      </c>
      <c r="B5">
        <v>704</v>
      </c>
      <c r="C5">
        <v>93</v>
      </c>
      <c r="D5">
        <v>11</v>
      </c>
      <c r="F5">
        <f t="shared" si="0"/>
        <v>0.46100467443466187</v>
      </c>
    </row>
    <row r="6" spans="1:18" x14ac:dyDescent="0.25">
      <c r="A6" s="4">
        <v>5</v>
      </c>
      <c r="B6">
        <v>826</v>
      </c>
      <c r="C6">
        <v>121</v>
      </c>
      <c r="D6">
        <v>13</v>
      </c>
      <c r="F6">
        <f t="shared" si="0"/>
        <v>0.54482370615005493</v>
      </c>
    </row>
    <row r="7" spans="1:18" x14ac:dyDescent="0.25">
      <c r="A7" s="4">
        <v>6</v>
      </c>
      <c r="B7">
        <v>947</v>
      </c>
      <c r="C7">
        <v>121</v>
      </c>
      <c r="D7">
        <v>15</v>
      </c>
      <c r="F7">
        <f t="shared" si="0"/>
        <v>0.628642737865448</v>
      </c>
    </row>
    <row r="8" spans="1:18" x14ac:dyDescent="0.25">
      <c r="A8" s="4">
        <v>7</v>
      </c>
      <c r="B8">
        <v>1106</v>
      </c>
      <c r="C8">
        <v>158</v>
      </c>
      <c r="D8">
        <v>18</v>
      </c>
      <c r="F8">
        <f t="shared" si="0"/>
        <v>0.7543712854385376</v>
      </c>
    </row>
    <row r="9" spans="1:18" x14ac:dyDescent="0.25">
      <c r="A9" s="4">
        <v>8</v>
      </c>
      <c r="B9">
        <v>1264</v>
      </c>
      <c r="C9">
        <v>158</v>
      </c>
      <c r="D9">
        <v>20</v>
      </c>
      <c r="F9">
        <f t="shared" si="0"/>
        <v>0.83819031715393066</v>
      </c>
    </row>
    <row r="10" spans="1:18" x14ac:dyDescent="0.25">
      <c r="A10" s="4">
        <v>9</v>
      </c>
      <c r="B10">
        <v>1465</v>
      </c>
      <c r="C10">
        <v>201</v>
      </c>
      <c r="D10">
        <v>23</v>
      </c>
      <c r="F10">
        <f t="shared" si="0"/>
        <v>0.96391886472702026</v>
      </c>
    </row>
    <row r="11" spans="1:18" x14ac:dyDescent="0.25">
      <c r="A11" s="4">
        <v>10</v>
      </c>
      <c r="B11">
        <v>1666</v>
      </c>
      <c r="C11">
        <v>201</v>
      </c>
      <c r="D11">
        <v>27</v>
      </c>
      <c r="F11">
        <f t="shared" si="0"/>
        <v>1.1315569281578064</v>
      </c>
    </row>
    <row r="12" spans="1:18" x14ac:dyDescent="0.25">
      <c r="A12" s="4">
        <v>11</v>
      </c>
      <c r="B12">
        <v>1922</v>
      </c>
      <c r="C12">
        <v>255</v>
      </c>
      <c r="D12">
        <v>31</v>
      </c>
      <c r="F12">
        <f t="shared" si="0"/>
        <v>1.2991949915885925</v>
      </c>
    </row>
    <row r="13" spans="1:18" x14ac:dyDescent="0.25">
      <c r="A13" s="4">
        <v>12</v>
      </c>
      <c r="B13">
        <v>2177</v>
      </c>
      <c r="C13">
        <v>255</v>
      </c>
      <c r="D13">
        <v>35</v>
      </c>
      <c r="F13">
        <f t="shared" si="0"/>
        <v>1.4668330550193787</v>
      </c>
    </row>
    <row r="14" spans="1:18" x14ac:dyDescent="0.25">
      <c r="A14" s="4">
        <v>13</v>
      </c>
      <c r="B14">
        <v>2496</v>
      </c>
      <c r="C14">
        <v>319</v>
      </c>
      <c r="D14">
        <v>40</v>
      </c>
      <c r="F14">
        <f t="shared" si="0"/>
        <v>1.6763806343078613</v>
      </c>
    </row>
    <row r="15" spans="1:18" x14ac:dyDescent="0.25">
      <c r="A15" s="4">
        <v>14</v>
      </c>
      <c r="B15">
        <v>2815</v>
      </c>
      <c r="C15">
        <v>319</v>
      </c>
      <c r="D15">
        <v>45</v>
      </c>
      <c r="F15">
        <f t="shared" si="0"/>
        <v>1.885928213596344</v>
      </c>
    </row>
    <row r="16" spans="1:18" x14ac:dyDescent="0.25">
      <c r="A16" s="4">
        <v>15</v>
      </c>
      <c r="B16">
        <v>3208</v>
      </c>
      <c r="C16">
        <v>393</v>
      </c>
      <c r="D16">
        <v>51</v>
      </c>
      <c r="F16">
        <f t="shared" si="0"/>
        <v>2.1373853087425232</v>
      </c>
    </row>
    <row r="17" spans="1:6" x14ac:dyDescent="0.25">
      <c r="A17" s="4">
        <v>16</v>
      </c>
      <c r="B17">
        <v>3601</v>
      </c>
      <c r="C17">
        <v>393</v>
      </c>
      <c r="D17">
        <v>57</v>
      </c>
      <c r="F17">
        <f t="shared" si="0"/>
        <v>2.3888424038887024</v>
      </c>
    </row>
    <row r="18" spans="1:6" x14ac:dyDescent="0.25">
      <c r="A18" s="4">
        <v>17</v>
      </c>
      <c r="B18">
        <v>4083</v>
      </c>
      <c r="C18">
        <v>481</v>
      </c>
      <c r="D18">
        <v>65</v>
      </c>
      <c r="F18">
        <f t="shared" si="0"/>
        <v>2.7241185307502747</v>
      </c>
    </row>
    <row r="19" spans="1:6" x14ac:dyDescent="0.25">
      <c r="A19" s="4">
        <v>18</v>
      </c>
      <c r="B19">
        <v>4564</v>
      </c>
      <c r="C19">
        <v>481</v>
      </c>
      <c r="D19">
        <v>73</v>
      </c>
      <c r="F19">
        <f t="shared" si="0"/>
        <v>3.0593946576118469</v>
      </c>
    </row>
    <row r="20" spans="1:6" x14ac:dyDescent="0.25">
      <c r="A20" s="4">
        <v>19</v>
      </c>
      <c r="B20">
        <v>5145</v>
      </c>
      <c r="C20">
        <v>580</v>
      </c>
      <c r="D20">
        <v>82</v>
      </c>
      <c r="F20">
        <f t="shared" si="0"/>
        <v>3.4365803003311157</v>
      </c>
    </row>
    <row r="21" spans="1:6" x14ac:dyDescent="0.25">
      <c r="A21" s="4">
        <v>20</v>
      </c>
      <c r="B21">
        <v>5725</v>
      </c>
      <c r="C21">
        <v>580</v>
      </c>
      <c r="D21">
        <v>91</v>
      </c>
      <c r="F21">
        <f t="shared" si="0"/>
        <v>3.8137659430503845</v>
      </c>
    </row>
    <row r="22" spans="1:6" x14ac:dyDescent="0.25">
      <c r="A22" s="4">
        <v>21</v>
      </c>
      <c r="B22">
        <v>6418</v>
      </c>
      <c r="C22">
        <v>692</v>
      </c>
      <c r="D22">
        <v>102</v>
      </c>
      <c r="F22">
        <f t="shared" si="0"/>
        <v>4.2747706174850464</v>
      </c>
    </row>
    <row r="23" spans="1:6" x14ac:dyDescent="0.25">
      <c r="A23" s="4">
        <v>22</v>
      </c>
      <c r="B23">
        <v>7110</v>
      </c>
      <c r="C23">
        <v>692</v>
      </c>
      <c r="D23">
        <v>113</v>
      </c>
      <c r="F23">
        <f t="shared" si="0"/>
        <v>4.7357752919197083</v>
      </c>
    </row>
    <row r="24" spans="1:6" x14ac:dyDescent="0.25">
      <c r="A24" s="4">
        <v>23</v>
      </c>
      <c r="B24">
        <v>7925</v>
      </c>
      <c r="C24">
        <v>815</v>
      </c>
      <c r="D24">
        <v>126</v>
      </c>
      <c r="F24">
        <f t="shared" si="0"/>
        <v>5.2805989980697632</v>
      </c>
    </row>
    <row r="25" spans="1:6" x14ac:dyDescent="0.25">
      <c r="A25" s="4">
        <v>24</v>
      </c>
      <c r="B25">
        <v>8740</v>
      </c>
      <c r="C25">
        <v>815</v>
      </c>
      <c r="D25">
        <v>139</v>
      </c>
      <c r="F25">
        <f t="shared" si="0"/>
        <v>5.8254227042198181</v>
      </c>
    </row>
    <row r="26" spans="1:6" x14ac:dyDescent="0.25">
      <c r="A26" s="4">
        <v>25</v>
      </c>
      <c r="B26">
        <v>9689</v>
      </c>
      <c r="C26">
        <v>948</v>
      </c>
      <c r="D26">
        <v>154</v>
      </c>
      <c r="F26">
        <f t="shared" si="0"/>
        <v>6.4540654420852661</v>
      </c>
    </row>
    <row r="27" spans="1:6" x14ac:dyDescent="0.25">
      <c r="A27" s="4">
        <v>26</v>
      </c>
      <c r="B27">
        <v>10637</v>
      </c>
      <c r="C27">
        <v>948</v>
      </c>
      <c r="D27">
        <v>169</v>
      </c>
      <c r="F27">
        <f t="shared" si="0"/>
        <v>7.0827081799507141</v>
      </c>
    </row>
    <row r="28" spans="1:6" x14ac:dyDescent="0.25">
      <c r="A28" s="4">
        <v>27</v>
      </c>
      <c r="B28">
        <v>11727</v>
      </c>
      <c r="C28">
        <v>1089</v>
      </c>
      <c r="D28">
        <v>187</v>
      </c>
      <c r="F28">
        <f t="shared" si="0"/>
        <v>7.8370794653892517</v>
      </c>
    </row>
    <row r="29" spans="1:6" x14ac:dyDescent="0.25">
      <c r="A29" s="4">
        <v>28</v>
      </c>
      <c r="B29">
        <v>12816</v>
      </c>
      <c r="C29">
        <v>1089</v>
      </c>
      <c r="D29">
        <v>204</v>
      </c>
      <c r="F29">
        <f t="shared" si="0"/>
        <v>8.5495412349700928</v>
      </c>
    </row>
    <row r="30" spans="1:6" x14ac:dyDescent="0.25">
      <c r="A30" s="4">
        <v>29</v>
      </c>
      <c r="B30">
        <v>14052</v>
      </c>
      <c r="C30">
        <v>1235</v>
      </c>
      <c r="D30">
        <v>224</v>
      </c>
      <c r="F30">
        <f t="shared" si="0"/>
        <v>9.3877315521240234</v>
      </c>
    </row>
    <row r="31" spans="1:6" x14ac:dyDescent="0.25">
      <c r="A31" s="4">
        <v>30</v>
      </c>
      <c r="B31">
        <v>15287</v>
      </c>
      <c r="C31">
        <v>1235</v>
      </c>
      <c r="D31">
        <v>244</v>
      </c>
      <c r="F31">
        <f t="shared" si="0"/>
        <v>10.225921869277954</v>
      </c>
    </row>
    <row r="32" spans="1:6" x14ac:dyDescent="0.25">
      <c r="A32" s="4">
        <v>31</v>
      </c>
      <c r="B32">
        <v>16670</v>
      </c>
      <c r="C32">
        <v>1382</v>
      </c>
      <c r="D32">
        <v>266</v>
      </c>
      <c r="F32">
        <f t="shared" si="0"/>
        <v>11.147931218147278</v>
      </c>
    </row>
    <row r="33" spans="1:24" x14ac:dyDescent="0.25">
      <c r="A33" s="4">
        <v>32</v>
      </c>
      <c r="B33">
        <v>18052</v>
      </c>
      <c r="C33">
        <v>1382</v>
      </c>
      <c r="D33">
        <v>288</v>
      </c>
      <c r="F33">
        <f t="shared" si="0"/>
        <v>12.069940567016602</v>
      </c>
    </row>
    <row r="34" spans="1:24" x14ac:dyDescent="0.25">
      <c r="A34" s="4">
        <v>33</v>
      </c>
      <c r="B34">
        <v>19577</v>
      </c>
      <c r="C34">
        <v>1525</v>
      </c>
      <c r="D34">
        <v>312</v>
      </c>
      <c r="F34">
        <f t="shared" si="0"/>
        <v>13.075768947601318</v>
      </c>
    </row>
    <row r="35" spans="1:24" x14ac:dyDescent="0.25">
      <c r="A35" s="4">
        <v>34</v>
      </c>
      <c r="B35">
        <v>21102</v>
      </c>
      <c r="C35">
        <v>1525</v>
      </c>
      <c r="D35">
        <v>336</v>
      </c>
      <c r="F35">
        <f t="shared" si="0"/>
        <v>14.081597328186035</v>
      </c>
    </row>
    <row r="36" spans="1:24" x14ac:dyDescent="0.25">
      <c r="A36" s="4">
        <v>35</v>
      </c>
      <c r="B36">
        <v>22761</v>
      </c>
      <c r="C36">
        <v>1659</v>
      </c>
      <c r="D36">
        <v>363</v>
      </c>
      <c r="F36">
        <f t="shared" si="0"/>
        <v>15.213154256343842</v>
      </c>
    </row>
    <row r="37" spans="1:24" x14ac:dyDescent="0.25">
      <c r="A37" s="4">
        <v>36</v>
      </c>
      <c r="B37">
        <v>24420</v>
      </c>
      <c r="C37">
        <v>1659</v>
      </c>
      <c r="D37">
        <v>389</v>
      </c>
      <c r="F37">
        <f t="shared" si="0"/>
        <v>16.302801668643951</v>
      </c>
    </row>
    <row r="38" spans="1:24" x14ac:dyDescent="0.25">
      <c r="A38" s="4">
        <v>37</v>
      </c>
      <c r="B38">
        <v>26199</v>
      </c>
      <c r="C38">
        <v>1778</v>
      </c>
      <c r="D38">
        <v>417</v>
      </c>
      <c r="F38">
        <f t="shared" si="0"/>
        <v>17.476268112659454</v>
      </c>
      <c r="U38" t="s">
        <v>12</v>
      </c>
      <c r="V38">
        <v>6.25</v>
      </c>
      <c r="X38">
        <v>20.833300000000001</v>
      </c>
    </row>
    <row r="39" spans="1:24" x14ac:dyDescent="0.25">
      <c r="A39" s="4">
        <v>38</v>
      </c>
      <c r="B39">
        <v>27977</v>
      </c>
      <c r="C39">
        <v>1778</v>
      </c>
      <c r="D39">
        <v>446</v>
      </c>
      <c r="F39">
        <f t="shared" si="0"/>
        <v>18.691644072532654</v>
      </c>
      <c r="U39" t="s">
        <v>13</v>
      </c>
      <c r="V39">
        <f>V38*7</f>
        <v>43.75</v>
      </c>
      <c r="W39" s="5" t="s">
        <v>15</v>
      </c>
      <c r="X39">
        <f>X38*3</f>
        <v>62.499900000000004</v>
      </c>
    </row>
    <row r="40" spans="1:24" x14ac:dyDescent="0.25">
      <c r="A40" s="4">
        <v>39</v>
      </c>
      <c r="B40">
        <v>29855</v>
      </c>
      <c r="C40">
        <v>1877</v>
      </c>
      <c r="D40">
        <v>476</v>
      </c>
      <c r="F40">
        <f t="shared" si="0"/>
        <v>19.94892954826355</v>
      </c>
      <c r="U40" t="s">
        <v>14</v>
      </c>
      <c r="V40">
        <f>V39/V42</f>
        <v>10439.156622222223</v>
      </c>
      <c r="X40">
        <f>X39/V42</f>
        <v>14913.057027959467</v>
      </c>
    </row>
    <row r="41" spans="1:24" x14ac:dyDescent="0.25">
      <c r="A41" s="4">
        <v>40</v>
      </c>
      <c r="B41">
        <v>31732</v>
      </c>
      <c r="C41">
        <v>1877</v>
      </c>
      <c r="D41">
        <v>505</v>
      </c>
      <c r="F41">
        <f t="shared" si="0"/>
        <v>21.164305508136749</v>
      </c>
    </row>
    <row r="42" spans="1:24" x14ac:dyDescent="0.25">
      <c r="A42" s="4">
        <v>41</v>
      </c>
      <c r="B42">
        <v>33681</v>
      </c>
      <c r="C42">
        <v>1949</v>
      </c>
      <c r="D42">
        <v>537</v>
      </c>
      <c r="F42">
        <f t="shared" si="0"/>
        <v>22.505410015583038</v>
      </c>
      <c r="V42">
        <f>18000000/2^32</f>
        <v>4.1909515857696533E-3</v>
      </c>
    </row>
    <row r="43" spans="1:24" x14ac:dyDescent="0.25">
      <c r="A43" s="4">
        <v>42</v>
      </c>
      <c r="B43">
        <v>35630</v>
      </c>
      <c r="C43">
        <v>1949</v>
      </c>
      <c r="D43">
        <v>568</v>
      </c>
      <c r="F43">
        <f t="shared" si="0"/>
        <v>23.804605007171631</v>
      </c>
      <c r="V43">
        <f>6.25/V42</f>
        <v>1491.308088888889</v>
      </c>
    </row>
    <row r="44" spans="1:24" x14ac:dyDescent="0.25">
      <c r="A44" s="4">
        <v>43</v>
      </c>
      <c r="B44">
        <v>37617</v>
      </c>
      <c r="C44">
        <v>1987</v>
      </c>
      <c r="D44">
        <v>599</v>
      </c>
      <c r="F44">
        <f t="shared" si="0"/>
        <v>25.103799998760223</v>
      </c>
    </row>
    <row r="45" spans="1:24" x14ac:dyDescent="0.25">
      <c r="A45" s="4">
        <v>44</v>
      </c>
      <c r="B45">
        <v>39604</v>
      </c>
      <c r="C45">
        <v>1987</v>
      </c>
      <c r="D45">
        <v>631</v>
      </c>
      <c r="F45">
        <f t="shared" si="0"/>
        <v>26.444904506206512</v>
      </c>
    </row>
    <row r="46" spans="1:24" x14ac:dyDescent="0.25">
      <c r="A46" s="4">
        <v>45</v>
      </c>
      <c r="B46">
        <v>41593</v>
      </c>
      <c r="C46">
        <v>1989</v>
      </c>
      <c r="D46">
        <v>663</v>
      </c>
      <c r="F46">
        <f t="shared" si="0"/>
        <v>27.786009013652802</v>
      </c>
    </row>
    <row r="47" spans="1:24" x14ac:dyDescent="0.25">
      <c r="A47" s="4">
        <v>46</v>
      </c>
      <c r="B47">
        <v>43582</v>
      </c>
      <c r="C47">
        <v>1989</v>
      </c>
      <c r="D47">
        <v>694</v>
      </c>
      <c r="F47">
        <f t="shared" si="0"/>
        <v>29.085204005241394</v>
      </c>
      <c r="V47">
        <f>419*7</f>
        <v>2933</v>
      </c>
    </row>
    <row r="48" spans="1:24" x14ac:dyDescent="0.25">
      <c r="A48" s="4">
        <v>47</v>
      </c>
      <c r="B48">
        <v>45529</v>
      </c>
      <c r="C48">
        <v>1947</v>
      </c>
      <c r="D48">
        <v>725</v>
      </c>
      <c r="F48">
        <f t="shared" si="0"/>
        <v>30.384398996829987</v>
      </c>
    </row>
    <row r="49" spans="1:6" x14ac:dyDescent="0.25">
      <c r="A49" s="4">
        <v>48</v>
      </c>
      <c r="B49">
        <v>47476</v>
      </c>
      <c r="C49">
        <v>1947</v>
      </c>
      <c r="D49">
        <v>756</v>
      </c>
      <c r="F49">
        <f t="shared" si="0"/>
        <v>31.683593988418579</v>
      </c>
    </row>
    <row r="50" spans="1:6" x14ac:dyDescent="0.25">
      <c r="A50" s="4">
        <v>49</v>
      </c>
      <c r="B50">
        <v>49340</v>
      </c>
      <c r="C50">
        <v>1863</v>
      </c>
      <c r="D50">
        <v>786</v>
      </c>
      <c r="F50">
        <f t="shared" si="0"/>
        <v>32.940879464149475</v>
      </c>
    </row>
    <row r="51" spans="1:6" x14ac:dyDescent="0.25">
      <c r="A51" s="4">
        <v>50</v>
      </c>
      <c r="B51">
        <v>51203</v>
      </c>
      <c r="C51">
        <v>1863</v>
      </c>
      <c r="D51">
        <v>816</v>
      </c>
      <c r="F51">
        <f t="shared" si="0"/>
        <v>34.198164939880371</v>
      </c>
    </row>
    <row r="52" spans="1:6" x14ac:dyDescent="0.25">
      <c r="A52" s="4">
        <v>51</v>
      </c>
      <c r="B52">
        <v>52935</v>
      </c>
      <c r="C52">
        <v>1732</v>
      </c>
      <c r="D52">
        <v>843</v>
      </c>
      <c r="F52">
        <f t="shared" si="0"/>
        <v>35.329721868038177</v>
      </c>
    </row>
    <row r="53" spans="1:6" x14ac:dyDescent="0.25">
      <c r="A53" s="4">
        <v>52</v>
      </c>
      <c r="B53">
        <v>54667</v>
      </c>
      <c r="C53">
        <v>1732</v>
      </c>
      <c r="D53">
        <v>871</v>
      </c>
      <c r="F53">
        <f t="shared" si="0"/>
        <v>36.50318831205368</v>
      </c>
    </row>
    <row r="54" spans="1:6" x14ac:dyDescent="0.25">
      <c r="A54" s="4">
        <v>53</v>
      </c>
      <c r="B54">
        <v>56225</v>
      </c>
      <c r="C54">
        <v>1557</v>
      </c>
      <c r="D54">
        <v>896</v>
      </c>
      <c r="F54">
        <f t="shared" si="0"/>
        <v>37.550926208496094</v>
      </c>
    </row>
    <row r="55" spans="1:6" x14ac:dyDescent="0.25">
      <c r="A55" s="4">
        <v>54</v>
      </c>
      <c r="B55">
        <v>57782</v>
      </c>
      <c r="C55">
        <v>1557</v>
      </c>
      <c r="D55">
        <v>920</v>
      </c>
      <c r="F55">
        <f t="shared" si="0"/>
        <v>38.556754589080811</v>
      </c>
    </row>
    <row r="56" spans="1:6" x14ac:dyDescent="0.25">
      <c r="A56" s="4">
        <v>55</v>
      </c>
      <c r="B56">
        <v>59121</v>
      </c>
      <c r="C56">
        <v>1339</v>
      </c>
      <c r="D56">
        <v>942</v>
      </c>
      <c r="F56">
        <f t="shared" si="0"/>
        <v>39.478763937950134</v>
      </c>
    </row>
    <row r="57" spans="1:6" x14ac:dyDescent="0.25">
      <c r="A57" s="4">
        <v>56</v>
      </c>
      <c r="B57">
        <v>60460</v>
      </c>
      <c r="C57">
        <v>1339</v>
      </c>
      <c r="D57">
        <v>963</v>
      </c>
      <c r="F57">
        <f t="shared" si="0"/>
        <v>40.358863770961761</v>
      </c>
    </row>
    <row r="58" spans="1:6" x14ac:dyDescent="0.25">
      <c r="A58" s="4">
        <v>57</v>
      </c>
      <c r="B58">
        <v>61546</v>
      </c>
      <c r="C58">
        <v>1085</v>
      </c>
      <c r="D58">
        <v>980</v>
      </c>
      <c r="F58">
        <f t="shared" si="0"/>
        <v>41.071325540542603</v>
      </c>
    </row>
    <row r="59" spans="1:6" x14ac:dyDescent="0.25">
      <c r="A59" s="4">
        <v>58</v>
      </c>
      <c r="B59">
        <v>62631</v>
      </c>
      <c r="C59">
        <v>1085</v>
      </c>
      <c r="D59">
        <v>998</v>
      </c>
      <c r="F59">
        <f t="shared" si="0"/>
        <v>41.82569682598114</v>
      </c>
    </row>
    <row r="60" spans="1:6" x14ac:dyDescent="0.25">
      <c r="A60" s="4">
        <v>59</v>
      </c>
      <c r="B60">
        <v>63429</v>
      </c>
      <c r="C60">
        <v>798</v>
      </c>
      <c r="D60">
        <v>1010</v>
      </c>
      <c r="F60">
        <f t="shared" si="0"/>
        <v>42.328611016273499</v>
      </c>
    </row>
    <row r="61" spans="1:6" x14ac:dyDescent="0.25">
      <c r="A61" s="4">
        <v>60</v>
      </c>
      <c r="B61">
        <v>64227</v>
      </c>
      <c r="C61">
        <v>798</v>
      </c>
      <c r="D61">
        <v>1023</v>
      </c>
      <c r="F61">
        <f t="shared" si="0"/>
        <v>42.873434722423553</v>
      </c>
    </row>
    <row r="62" spans="1:6" x14ac:dyDescent="0.25">
      <c r="A62" s="4">
        <v>61</v>
      </c>
      <c r="B62">
        <v>64717</v>
      </c>
      <c r="C62">
        <v>489</v>
      </c>
      <c r="D62">
        <v>1031</v>
      </c>
      <c r="F62">
        <f t="shared" si="0"/>
        <v>43.208710849285126</v>
      </c>
    </row>
    <row r="63" spans="1:6" x14ac:dyDescent="0.25">
      <c r="A63" s="4">
        <v>62</v>
      </c>
      <c r="B63">
        <v>65206</v>
      </c>
      <c r="C63">
        <v>489</v>
      </c>
      <c r="D63">
        <v>1039</v>
      </c>
      <c r="F63">
        <f t="shared" si="0"/>
        <v>43.543986976146698</v>
      </c>
    </row>
    <row r="64" spans="1:6" x14ac:dyDescent="0.25">
      <c r="A64" s="4">
        <v>63</v>
      </c>
      <c r="B64">
        <v>65370</v>
      </c>
      <c r="C64">
        <v>164</v>
      </c>
      <c r="D64">
        <v>1041</v>
      </c>
      <c r="F64">
        <f t="shared" si="0"/>
        <v>43.627806007862091</v>
      </c>
    </row>
    <row r="65" spans="1:6" x14ac:dyDescent="0.25">
      <c r="A65" s="4">
        <v>64</v>
      </c>
      <c r="B65">
        <v>65534</v>
      </c>
      <c r="C65">
        <v>164</v>
      </c>
      <c r="D65">
        <v>1044</v>
      </c>
      <c r="F65">
        <f t="shared" si="0"/>
        <v>43.753534555435181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2024-04-09T12:08:44Z</dcterms:created>
  <dcterms:modified xsi:type="dcterms:W3CDTF">2025-12-01T10:32:30Z</dcterms:modified>
</cp:coreProperties>
</file>